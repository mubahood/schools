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25AA53DB-8540-4527-A78A-5C2C966149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RM I SCH FEES 2026" sheetId="13" r:id="rId1"/>
    <sheet name="Sheet1" sheetId="49" r:id="rId2"/>
    <sheet name="TERM II DEFAULTERS" sheetId="17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5" i="17" l="1"/>
  <c r="M45" i="17"/>
  <c r="J45" i="17"/>
  <c r="I45" i="17"/>
  <c r="H45" i="17"/>
  <c r="E45" i="17"/>
  <c r="K43" i="17"/>
  <c r="F43" i="17"/>
  <c r="G43" i="17" s="1"/>
  <c r="N40" i="17"/>
  <c r="M40" i="17"/>
  <c r="J40" i="17"/>
  <c r="I40" i="17"/>
  <c r="H40" i="17"/>
  <c r="E40" i="17"/>
  <c r="K38" i="17"/>
  <c r="F38" i="17"/>
  <c r="G38" i="17" s="1"/>
  <c r="K37" i="17"/>
  <c r="F37" i="17"/>
  <c r="K36" i="17"/>
  <c r="F36" i="17"/>
  <c r="G36" i="17" s="1"/>
  <c r="K35" i="17"/>
  <c r="F35" i="17"/>
  <c r="N31" i="17"/>
  <c r="M31" i="17"/>
  <c r="J31" i="17"/>
  <c r="I31" i="17"/>
  <c r="H31" i="17"/>
  <c r="E31" i="17"/>
  <c r="K30" i="17"/>
  <c r="L30" i="17" s="1"/>
  <c r="K29" i="17"/>
  <c r="G29" i="17"/>
  <c r="N25" i="17"/>
  <c r="M25" i="17"/>
  <c r="J25" i="17"/>
  <c r="I25" i="17"/>
  <c r="H25" i="17"/>
  <c r="E25" i="17"/>
  <c r="K24" i="17"/>
  <c r="F24" i="17"/>
  <c r="G24" i="17" s="1"/>
  <c r="K23" i="17"/>
  <c r="F23" i="17"/>
  <c r="G23" i="17" s="1"/>
  <c r="K22" i="17"/>
  <c r="F22" i="17"/>
  <c r="N18" i="17"/>
  <c r="M18" i="17"/>
  <c r="J18" i="17"/>
  <c r="I18" i="17"/>
  <c r="H18" i="17"/>
  <c r="E18" i="17"/>
  <c r="K16" i="17"/>
  <c r="L16" i="17" s="1"/>
  <c r="G16" i="17"/>
  <c r="K15" i="17"/>
  <c r="F15" i="17"/>
  <c r="G15" i="17" s="1"/>
  <c r="K14" i="17"/>
  <c r="F14" i="17"/>
  <c r="G14" i="17" s="1"/>
  <c r="K13" i="17"/>
  <c r="F13" i="17"/>
  <c r="G13" i="17" s="1"/>
  <c r="N9" i="17"/>
  <c r="M9" i="17"/>
  <c r="J9" i="17"/>
  <c r="I9" i="17"/>
  <c r="H9" i="17"/>
  <c r="E9" i="17"/>
  <c r="K8" i="17"/>
  <c r="K7" i="17"/>
  <c r="G7" i="17"/>
  <c r="K6" i="17"/>
  <c r="F6" i="17"/>
  <c r="K5" i="17"/>
  <c r="F5" i="17"/>
  <c r="G45" i="17" l="1"/>
  <c r="G35" i="17"/>
  <c r="J48" i="17"/>
  <c r="K9" i="17"/>
  <c r="E48" i="17"/>
  <c r="L31" i="17"/>
  <c r="K45" i="17"/>
  <c r="F31" i="17"/>
  <c r="N48" i="17"/>
  <c r="L13" i="17"/>
  <c r="G37" i="17"/>
  <c r="L43" i="17"/>
  <c r="I48" i="17"/>
  <c r="L9" i="17"/>
  <c r="K18" i="17"/>
  <c r="F45" i="17"/>
  <c r="K25" i="17"/>
  <c r="K31" i="17"/>
  <c r="G5" i="17"/>
  <c r="G6" i="17"/>
  <c r="F18" i="17"/>
  <c r="G22" i="17"/>
  <c r="L25" i="17"/>
  <c r="G31" i="17"/>
  <c r="K40" i="17"/>
  <c r="F9" i="17"/>
  <c r="F25" i="17"/>
  <c r="F40" i="17"/>
  <c r="L39" i="17" l="1"/>
  <c r="L18" i="17"/>
  <c r="L45" i="17"/>
  <c r="K48" i="17"/>
  <c r="F48" i="17"/>
  <c r="G18" i="17"/>
  <c r="G25" i="17"/>
  <c r="G40" i="17"/>
  <c r="G9" i="17"/>
  <c r="L48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<sst xmlns="http://schemas.openxmlformats.org/spreadsheetml/2006/main" count="1046" uniqueCount="704">
  <si>
    <t>CAMBRIDGE KINDERGARTEN AND DAY CARE - KITEBI</t>
  </si>
  <si>
    <t>P.O BOX 3557 KAMPALA</t>
  </si>
  <si>
    <t>No</t>
  </si>
  <si>
    <t>NAME</t>
  </si>
  <si>
    <t>CLASS</t>
  </si>
  <si>
    <t>BAL</t>
  </si>
  <si>
    <t>BABY</t>
  </si>
  <si>
    <t>TTL</t>
  </si>
  <si>
    <t>2nd PYT</t>
  </si>
  <si>
    <t>3rd PYT</t>
  </si>
  <si>
    <t>1st PYT</t>
  </si>
  <si>
    <t>s</t>
  </si>
  <si>
    <t>MIDDLE</t>
  </si>
  <si>
    <t>TOP</t>
  </si>
  <si>
    <t>KABI VICTORIA</t>
  </si>
  <si>
    <t>P.1</t>
  </si>
  <si>
    <t>70% pyt</t>
  </si>
  <si>
    <t>P.2</t>
  </si>
  <si>
    <t>GRAND TOTAL</t>
  </si>
  <si>
    <t>KABI VICTOR</t>
  </si>
  <si>
    <t>KAWEESI SHANTALE</t>
  </si>
  <si>
    <t>REAM</t>
  </si>
  <si>
    <t>NYAMUNGU MARTHA</t>
  </si>
  <si>
    <t>NAMYALO SHANISE MATINAH</t>
  </si>
  <si>
    <t>CONTACTS</t>
  </si>
  <si>
    <t>NO</t>
  </si>
  <si>
    <t>TOTAL</t>
  </si>
  <si>
    <t>NAMAYEGA LATIIFAH</t>
  </si>
  <si>
    <t>UYIRWOTH TRAVIS</t>
  </si>
  <si>
    <t>P.3</t>
  </si>
  <si>
    <t>0393217211 /0756400437</t>
  </si>
  <si>
    <t>NKINZI  ATIFAH JUUKO</t>
  </si>
  <si>
    <t>MUWANGA JOSELNE</t>
  </si>
  <si>
    <t>MUWANGA JOLYNE</t>
  </si>
  <si>
    <t>TUMWEBAZE JEROME</t>
  </si>
  <si>
    <t>0701531588(D)/0752829833(M)</t>
  </si>
  <si>
    <t>ANNABEL  KIWANUKA  MALAYKA</t>
  </si>
  <si>
    <t>AYEBARE ARYAN</t>
  </si>
  <si>
    <t>BLICK  JONELL</t>
  </si>
  <si>
    <t>MAGEMBE ETHAN</t>
  </si>
  <si>
    <t>KAKEETO ASADU</t>
  </si>
  <si>
    <t>MEDICAL</t>
  </si>
  <si>
    <t>NAMBUYA ELIZABETH</t>
  </si>
  <si>
    <t>SOMALI EDRINE</t>
  </si>
  <si>
    <t>ABAMURUNGI BRIANNA</t>
  </si>
  <si>
    <t>ATUKUNDA CHLOE</t>
  </si>
  <si>
    <t>KAYIWA IVAN</t>
  </si>
  <si>
    <t>KAZIBWE AKRAM</t>
  </si>
  <si>
    <t>0757145761(M)/0756601413(D)</t>
  </si>
  <si>
    <t>MULUNGI JOEL</t>
  </si>
  <si>
    <t>ABERA MIRIAM FAVOUR</t>
  </si>
  <si>
    <t>SSENYONGA ATWIB</t>
  </si>
  <si>
    <t>ARINANYE ALEXA HANNA</t>
  </si>
  <si>
    <t>SSENTEZA ADRIANE</t>
  </si>
  <si>
    <t>NANYUNJA  SKYLAR</t>
  </si>
  <si>
    <t>Student No</t>
  </si>
  <si>
    <t>CK22185</t>
  </si>
  <si>
    <t>KIBAATE RAHIM LUBADDE</t>
  </si>
  <si>
    <t>CK22001</t>
  </si>
  <si>
    <t>CK22002</t>
  </si>
  <si>
    <t>CK22010</t>
  </si>
  <si>
    <t>CK22011</t>
  </si>
  <si>
    <t>CK22017</t>
  </si>
  <si>
    <t>CK22024</t>
  </si>
  <si>
    <t>CK22043</t>
  </si>
  <si>
    <t>CK22061</t>
  </si>
  <si>
    <t>CK22064</t>
  </si>
  <si>
    <t>CK22081</t>
  </si>
  <si>
    <t>CK22151</t>
  </si>
  <si>
    <t>CK22165</t>
  </si>
  <si>
    <t>CK22175</t>
  </si>
  <si>
    <t>0787812398</t>
  </si>
  <si>
    <t>0776997998</t>
  </si>
  <si>
    <t>0701949951</t>
  </si>
  <si>
    <t>0754225880</t>
  </si>
  <si>
    <t>0700583759</t>
  </si>
  <si>
    <t>0754528854</t>
  </si>
  <si>
    <t>CK22015</t>
  </si>
  <si>
    <t>CK22039</t>
  </si>
  <si>
    <t>CK22057</t>
  </si>
  <si>
    <t>CK22095</t>
  </si>
  <si>
    <t>CK22126</t>
  </si>
  <si>
    <t>CK22134</t>
  </si>
  <si>
    <t>CK22155</t>
  </si>
  <si>
    <t>CK22186</t>
  </si>
  <si>
    <t>0755438398</t>
  </si>
  <si>
    <t>0756677717</t>
  </si>
  <si>
    <t>0701838396</t>
  </si>
  <si>
    <t>0701721734</t>
  </si>
  <si>
    <t>0754925121</t>
  </si>
  <si>
    <t>CK22097</t>
  </si>
  <si>
    <t>CK22141</t>
  </si>
  <si>
    <t>CK22166</t>
  </si>
  <si>
    <t>0703817182</t>
  </si>
  <si>
    <t>0700907174</t>
  </si>
  <si>
    <t>CK22123</t>
  </si>
  <si>
    <t>0704140770</t>
  </si>
  <si>
    <t>NALUMAGGA SHANTALE  M</t>
  </si>
  <si>
    <t>CK22059</t>
  </si>
  <si>
    <t>CK22098</t>
  </si>
  <si>
    <t>CK22116</t>
  </si>
  <si>
    <t>CK22179</t>
  </si>
  <si>
    <t>0753963259</t>
  </si>
  <si>
    <t>0704815815</t>
  </si>
  <si>
    <t>CK22040</t>
  </si>
  <si>
    <t>NAJJUUKO AMINAH</t>
  </si>
  <si>
    <t>CK22198</t>
  </si>
  <si>
    <t>OLUKOT GIDEON</t>
  </si>
  <si>
    <t>MUKWAYA PEDRO</t>
  </si>
  <si>
    <t>CK22201</t>
  </si>
  <si>
    <t>0703866036(M)/0751110230(D)</t>
  </si>
  <si>
    <t>SUUNA MOSES</t>
  </si>
  <si>
    <t>0705977083/0706655982(D)</t>
  </si>
  <si>
    <t>CK22214</t>
  </si>
  <si>
    <t>0755175181(M)/0752505950(D)</t>
  </si>
  <si>
    <t>CK22021</t>
  </si>
  <si>
    <t>KASOZI ABDUL TAHIL</t>
  </si>
  <si>
    <t>AINOMUGISHA MORGAN</t>
  </si>
  <si>
    <t>CK22218</t>
  </si>
  <si>
    <t>CK22183</t>
  </si>
  <si>
    <t>Prev. Bal</t>
  </si>
  <si>
    <t>0706955812(d)</t>
  </si>
  <si>
    <t>KAMYA BARRAK</t>
  </si>
  <si>
    <t>0708513535(M)</t>
  </si>
  <si>
    <t>0705748980(M)</t>
  </si>
  <si>
    <t>NASSALI ASMAT</t>
  </si>
  <si>
    <t>MUYANJA LIAM KAMBUGU</t>
  </si>
  <si>
    <t>LWANGA DYLAN TARIQ</t>
  </si>
  <si>
    <t>CK22244</t>
  </si>
  <si>
    <t>0700280027(M0/0703860515(D0</t>
  </si>
  <si>
    <t>DANIEL PAUL</t>
  </si>
  <si>
    <t>CK22241</t>
  </si>
  <si>
    <t>KIBAATE NAEEM LUBADDE</t>
  </si>
  <si>
    <t>CK22240</t>
  </si>
  <si>
    <t>CK22239</t>
  </si>
  <si>
    <t>CK22233</t>
  </si>
  <si>
    <t>0752821296(GM)/0708634624(A)</t>
  </si>
  <si>
    <t>NABASIRYE NATALIAH</t>
  </si>
  <si>
    <t>CK22234</t>
  </si>
  <si>
    <t>CK22253</t>
  </si>
  <si>
    <t>NDAGIRE BRIANNA</t>
  </si>
  <si>
    <t>CK22245</t>
  </si>
  <si>
    <t>0706286283(M)/0702338352(D)</t>
  </si>
  <si>
    <t>NAMUKWAYA JENNIFER</t>
  </si>
  <si>
    <t>CK22246</t>
  </si>
  <si>
    <t>SSEKIBUULE RABIBAH</t>
  </si>
  <si>
    <t>CK22247</t>
  </si>
  <si>
    <t>0782502096(M)/0782384769(D)</t>
  </si>
  <si>
    <t>MIYINGO BRIANNA</t>
  </si>
  <si>
    <t>CK22249</t>
  </si>
  <si>
    <t>0760506913(M)/0752579651(D)</t>
  </si>
  <si>
    <t>KAYIMA FRANCESCO CRAIG</t>
  </si>
  <si>
    <t>CK22254</t>
  </si>
  <si>
    <t>0784990787(M)/0785300896</t>
  </si>
  <si>
    <t>ZALWANGO ISABELLA</t>
  </si>
  <si>
    <t>CK22257</t>
  </si>
  <si>
    <t>0705440392(M)/07570198949D)</t>
  </si>
  <si>
    <t>TUMWESIGYE JOEL</t>
  </si>
  <si>
    <t>NANTONGO SUHAIRA</t>
  </si>
  <si>
    <t>CK22272</t>
  </si>
  <si>
    <t>0706357636(M)/0701756523(D)</t>
  </si>
  <si>
    <t>CK22266</t>
  </si>
  <si>
    <t>MULUNGI  EAN KYEYUNE</t>
  </si>
  <si>
    <t>CK22276</t>
  </si>
  <si>
    <t>0759336291/0701624882</t>
  </si>
  <si>
    <t>NANSUBUGA JEMIMA</t>
  </si>
  <si>
    <t>CK22282</t>
  </si>
  <si>
    <t>0774008847(M) /07769766099D0</t>
  </si>
  <si>
    <t>ALEXANDRA ANGEL MBEJJA</t>
  </si>
  <si>
    <t>CK22284</t>
  </si>
  <si>
    <t>CK22086</t>
  </si>
  <si>
    <t>0701841823(M)/0754307383(D)</t>
  </si>
  <si>
    <t>SHEEHNAZ  NAMUBIRU</t>
  </si>
  <si>
    <t>NAMATOVU HADIAH</t>
  </si>
  <si>
    <t>0709846984(M)/0701944045(D)</t>
  </si>
  <si>
    <t>0752597105(GM)/0759201719(D)</t>
  </si>
  <si>
    <t>LUKENGE JEREMIAH</t>
  </si>
  <si>
    <t>0705989488(M)/0703106633(D)</t>
  </si>
  <si>
    <t>NALUBEGA MARIA MALAIKA</t>
  </si>
  <si>
    <t>0703956465(D)/0757299045(M)</t>
  </si>
  <si>
    <t>CK22303</t>
  </si>
  <si>
    <t>0772678367/0756429275(M)</t>
  </si>
  <si>
    <t>CK22306</t>
  </si>
  <si>
    <t>CK22293</t>
  </si>
  <si>
    <t>NAMUTAAWE MELINAH</t>
  </si>
  <si>
    <t>CK22308</t>
  </si>
  <si>
    <t>0703956465(D)</t>
  </si>
  <si>
    <t>IBEMBE ASAPH</t>
  </si>
  <si>
    <t>0701463381(M)/0752435212(D)</t>
  </si>
  <si>
    <t>0751277585(M)/0702385832(GM)</t>
  </si>
  <si>
    <t>0756046483(M)/0752705651(D)</t>
  </si>
  <si>
    <t>0701652997(M)/0753248919(D)</t>
  </si>
  <si>
    <t>0772047171(M)/0759930372(D)</t>
  </si>
  <si>
    <t xml:space="preserve">0759922202(M) </t>
  </si>
  <si>
    <t>0701531588(D)</t>
  </si>
  <si>
    <t>STUDENT NO</t>
  </si>
  <si>
    <t>CONTACT</t>
  </si>
  <si>
    <t>WAMPAMBA RYAN</t>
  </si>
  <si>
    <t>CK22322</t>
  </si>
  <si>
    <t>0744283206(M)/0755118604(D)</t>
  </si>
  <si>
    <t>LUBEGA GENESIS GOOD</t>
  </si>
  <si>
    <t>CK22319</t>
  </si>
  <si>
    <t>TRISTON JASPER BBOSA</t>
  </si>
  <si>
    <t>CK22317</t>
  </si>
  <si>
    <t>0700563475(M)/0706395921(D)</t>
  </si>
  <si>
    <t>KIBUYE RAYAN</t>
  </si>
  <si>
    <t>CK22324</t>
  </si>
  <si>
    <t>0759290935(M)/0755493291(D)</t>
  </si>
  <si>
    <t>ALAINEH BEATRICE WANZU</t>
  </si>
  <si>
    <t>CK22314</t>
  </si>
  <si>
    <t>0773041218(M)</t>
  </si>
  <si>
    <t>KAYEMBA ARSHAD SALIM</t>
  </si>
  <si>
    <t>CK22312</t>
  </si>
  <si>
    <t>0784176193(D)</t>
  </si>
  <si>
    <t>DDAMULIRA MANUEL LUBEGA</t>
  </si>
  <si>
    <t>CK22325</t>
  </si>
  <si>
    <t>0751685159(M)/0703889496(D)</t>
  </si>
  <si>
    <t>ISABEL SSUUBI MUWANGU</t>
  </si>
  <si>
    <t>CK22328</t>
  </si>
  <si>
    <t>WATABA ISLAM RASHAAD</t>
  </si>
  <si>
    <t>CK22329</t>
  </si>
  <si>
    <t>0755211751(M)/0704195381(D)</t>
  </si>
  <si>
    <t>0781484906(M)/</t>
  </si>
  <si>
    <t>CK22302</t>
  </si>
  <si>
    <t>CK22313</t>
  </si>
  <si>
    <t>0757730660(M)/0701091652(D)</t>
  </si>
  <si>
    <t>0781385944(m)/0704596188(d)</t>
  </si>
  <si>
    <t>MUGISHA CHARLOTTE</t>
  </si>
  <si>
    <t>CK22334</t>
  </si>
  <si>
    <t>0756115485(M)/0780505186(D)</t>
  </si>
  <si>
    <t>0706143866</t>
  </si>
  <si>
    <t>AKANGARUKAMU ISAIH</t>
  </si>
  <si>
    <t>CK22337</t>
  </si>
  <si>
    <t>0756508170(M)/0757624410(D)</t>
  </si>
  <si>
    <t>HIRYA ASHLEY BEATRICE</t>
  </si>
  <si>
    <t>CK22310</t>
  </si>
  <si>
    <t>ALIYAH INAAYAH</t>
  </si>
  <si>
    <t>CK22342</t>
  </si>
  <si>
    <t>0701771322(M)</t>
  </si>
  <si>
    <t>NAKIMULI JOY GRACE</t>
  </si>
  <si>
    <t>0743439339(M)/0700453763(D)</t>
  </si>
  <si>
    <t>NAMUGERWA MANUELLA</t>
  </si>
  <si>
    <t>CK22345</t>
  </si>
  <si>
    <t>0757609892(M)/0756337071(D)</t>
  </si>
  <si>
    <t>SENJOBE TIBURCIO VIRL</t>
  </si>
  <si>
    <t>CK22346</t>
  </si>
  <si>
    <t>0751357545(M)/0701117634(D)</t>
  </si>
  <si>
    <t>MULINDA CALTON JEREMIA</t>
  </si>
  <si>
    <t>CK22351</t>
  </si>
  <si>
    <t>0784747118(M)/0753847308(D)</t>
  </si>
  <si>
    <t>MUGAMBE AMYRA</t>
  </si>
  <si>
    <t>CK22347</t>
  </si>
  <si>
    <t>0708059450(M)/0759783856(D)</t>
  </si>
  <si>
    <t>TASMIN BINT SULA</t>
  </si>
  <si>
    <t>LWANGA TAQREEM YASIN</t>
  </si>
  <si>
    <t>CK22353</t>
  </si>
  <si>
    <t>0779681351(M)/0701226006(D)</t>
  </si>
  <si>
    <t>NABITAKA ANGEL</t>
  </si>
  <si>
    <t>CK22354</t>
  </si>
  <si>
    <t>0706631367(M)/0704255742(?D)</t>
  </si>
  <si>
    <t>0777457470/0772713847(D)</t>
  </si>
  <si>
    <t>CHAMAKA BLESSINGS</t>
  </si>
  <si>
    <t>CK22357</t>
  </si>
  <si>
    <t>0751961171(M)/0701424823(D)</t>
  </si>
  <si>
    <t>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</si>
  <si>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NAKYEJWE SHAMINAH</t>
  </si>
  <si>
    <t>CK22358</t>
  </si>
  <si>
    <t>0701551654(M)/0782551645(D)</t>
  </si>
  <si>
    <t>MUGISHA AARON DYLAN</t>
  </si>
  <si>
    <t>CK22359</t>
  </si>
  <si>
    <t>0753625132(M)/0704101432(D)</t>
  </si>
  <si>
    <t>KATENDE RAYMOND</t>
  </si>
  <si>
    <t>0741042797(M)</t>
  </si>
  <si>
    <t>BUWEMBO SALHA</t>
  </si>
  <si>
    <t>NAKYEJWE SAMYRA NADIA</t>
  </si>
  <si>
    <t>CK22363</t>
  </si>
  <si>
    <t>BUSUULWA SHARVIN JONATHAN</t>
  </si>
  <si>
    <t>CK22366</t>
  </si>
  <si>
    <t>0706297621(M)/0776058658(D)</t>
  </si>
  <si>
    <t>MABIIRIZI ELSIE ARIELL</t>
  </si>
  <si>
    <t>CK22368</t>
  </si>
  <si>
    <t>0787122513(M)/0705745772(D)</t>
  </si>
  <si>
    <t>KAHANGIRE JETHRO</t>
  </si>
  <si>
    <t>CK22369</t>
  </si>
  <si>
    <t>0781120224(M)/0750320392(D)</t>
  </si>
  <si>
    <t>KIRABO ADIRAH</t>
  </si>
  <si>
    <t>CK22380</t>
  </si>
  <si>
    <t>0701681124(M)/0701633002(D)</t>
  </si>
  <si>
    <t>JARDENA SERA MATOVU</t>
  </si>
  <si>
    <t>CK22379</t>
  </si>
  <si>
    <t>0759040003(D)/0772997097</t>
  </si>
  <si>
    <t>SSESABELA MIA MATOVU</t>
  </si>
  <si>
    <t>CK22378</t>
  </si>
  <si>
    <t>0759040003(D)</t>
  </si>
  <si>
    <t>KIYINGI JIM AUSTIN</t>
  </si>
  <si>
    <t>NAMBOOWA SHAHAT</t>
  </si>
  <si>
    <t>CK22382</t>
  </si>
  <si>
    <t>0771049862(M)/0708220436(D)</t>
  </si>
  <si>
    <t>KATAMBA ARYAN</t>
  </si>
  <si>
    <t>CK22383</t>
  </si>
  <si>
    <t>0700342777(M)/0702278104(D)</t>
  </si>
  <si>
    <t>NAMUGERA YASIN</t>
  </si>
  <si>
    <t>CK22425</t>
  </si>
  <si>
    <t>RONDA ROUSEY MAKARU</t>
  </si>
  <si>
    <t>CK22419</t>
  </si>
  <si>
    <t>0701799194(D)/0766288558(M)</t>
  </si>
  <si>
    <t>BIRUNGI ELAINE</t>
  </si>
  <si>
    <t>CK22392</t>
  </si>
  <si>
    <t>SSALI HANIF</t>
  </si>
  <si>
    <t>CK22401</t>
  </si>
  <si>
    <t>SSESANGA ARNOLD SEKANDI</t>
  </si>
  <si>
    <t>CK22402</t>
  </si>
  <si>
    <t>0743042683(M)/0752705651(D)</t>
  </si>
  <si>
    <t>NAMAGANDA AAYAH</t>
  </si>
  <si>
    <t>CK22395</t>
  </si>
  <si>
    <t>07072224669A)/0786417980(G)</t>
  </si>
  <si>
    <t>HASBA HANAAN</t>
  </si>
  <si>
    <t>CK22390</t>
  </si>
  <si>
    <t>0751596837(M)/07552117519(A)</t>
  </si>
  <si>
    <t>YIGA SHARIK</t>
  </si>
  <si>
    <t>CK22389</t>
  </si>
  <si>
    <t>0704300120(M)/0702197484(D)</t>
  </si>
  <si>
    <t>NAMIYINGO BRITINE</t>
  </si>
  <si>
    <t>CK22391</t>
  </si>
  <si>
    <t>0757299045(M)/0752579651(D)</t>
  </si>
  <si>
    <t>SEKULIMA ROHAN GABRIEL</t>
  </si>
  <si>
    <t>CK22394</t>
  </si>
  <si>
    <t>0783340698(M)/0774598543(D)</t>
  </si>
  <si>
    <t>SSEMAKULA HARRY FRED</t>
  </si>
  <si>
    <t>CK22403</t>
  </si>
  <si>
    <t>0767638820(M)/0752240722(D)</t>
  </si>
  <si>
    <t>NAVUGGA TENDO MITCHELLE</t>
  </si>
  <si>
    <t>CK22409</t>
  </si>
  <si>
    <t>0773059702(M)/0751842051(D)</t>
  </si>
  <si>
    <t>NAKAZIGO  ALEXA</t>
  </si>
  <si>
    <t>CK22407</t>
  </si>
  <si>
    <t>0703376275(M)/0782096262(D)</t>
  </si>
  <si>
    <t>SSENTONGO JOSHUA</t>
  </si>
  <si>
    <t>CK22387</t>
  </si>
  <si>
    <t>0772996690(M)/0701041134(D)</t>
  </si>
  <si>
    <t>LUKWAGO  ASHIM</t>
  </si>
  <si>
    <t>CK22406</t>
  </si>
  <si>
    <t>0700280027(M)/0785709080(D)</t>
  </si>
  <si>
    <t>KIGOZI JZAMY BWOGI</t>
  </si>
  <si>
    <t>CK22415</t>
  </si>
  <si>
    <t>0706074725(D)</t>
  </si>
  <si>
    <t>NAKAAYI DENISHA</t>
  </si>
  <si>
    <t>CK22405</t>
  </si>
  <si>
    <t>ASJAD MOHAMMED</t>
  </si>
  <si>
    <t>CK22423</t>
  </si>
  <si>
    <t>0750983688(M)/0776757466</t>
  </si>
  <si>
    <t>MOHAMMED ALMUSTAFAH</t>
  </si>
  <si>
    <t>CK22413</t>
  </si>
  <si>
    <t>0773934577(M)/0761886449(D)</t>
  </si>
  <si>
    <t>MATINA MALAIKA</t>
  </si>
  <si>
    <t>CK22416</t>
  </si>
  <si>
    <t>0701540076(M)/0772668686(D)</t>
  </si>
  <si>
    <t>SSALI HANIM</t>
  </si>
  <si>
    <t>CK22400</t>
  </si>
  <si>
    <t>AHUMUZA MARTIAL</t>
  </si>
  <si>
    <t>CK22396</t>
  </si>
  <si>
    <t>0707728044(M)/0700706212(D)</t>
  </si>
  <si>
    <t>0756287848(M)/0707384125(D)</t>
  </si>
  <si>
    <t>NKANGI MYRA KRISTIANA</t>
  </si>
  <si>
    <t>CK22417</t>
  </si>
  <si>
    <t>0701118302(D)/0758952403(D)</t>
  </si>
  <si>
    <t>WAMDA MOHAMMAD</t>
  </si>
  <si>
    <t>CK22422</t>
  </si>
  <si>
    <t>0756077484(M)/0776757484</t>
  </si>
  <si>
    <t>ALTIJANI MUHAMMED</t>
  </si>
  <si>
    <t>CK22421</t>
  </si>
  <si>
    <t>0765017484(M)</t>
  </si>
  <si>
    <t>ASIM MOHAMMED</t>
  </si>
  <si>
    <t>CK22420</t>
  </si>
  <si>
    <t>SSEKALAALA SONIA PALA</t>
  </si>
  <si>
    <t>CK22427</t>
  </si>
  <si>
    <t>SSEKALAALA ALEXANDRIA</t>
  </si>
  <si>
    <t>CK22426</t>
  </si>
  <si>
    <t>0781899584(M)/0703556599(D)</t>
  </si>
  <si>
    <t>KIGGUNDU ARMANI JACINTA</t>
  </si>
  <si>
    <t>CK</t>
  </si>
  <si>
    <t>NAJJUMA HAILEY ROBINAH</t>
  </si>
  <si>
    <t>BBALE ALESSIA GAZEL</t>
  </si>
  <si>
    <t>AMARA ARIANA</t>
  </si>
  <si>
    <t>MUGAMBWA EDWARD AZALIAH</t>
  </si>
  <si>
    <t>KENGANZI AMANDAH</t>
  </si>
  <si>
    <t>MUWULIRIZI FRANCIS</t>
  </si>
  <si>
    <t>MAWANDA BRIGHTON</t>
  </si>
  <si>
    <t>KIWANUKA ANNABEL</t>
  </si>
  <si>
    <t>0767638820( M)/0788660410(D)</t>
  </si>
  <si>
    <t>0781220883(M)/0781220883(D)</t>
  </si>
  <si>
    <t>0775185518(D)/0701504030(D)</t>
  </si>
  <si>
    <t>0781899584{M)/0778885815(D)</t>
  </si>
  <si>
    <t>CK22428</t>
  </si>
  <si>
    <t>0701671380(M)/0701338575(D)</t>
  </si>
  <si>
    <t>CK22441</t>
  </si>
  <si>
    <t>CK22433</t>
  </si>
  <si>
    <t>0788143126(M)/0782055805(D)</t>
  </si>
  <si>
    <t>CK22437</t>
  </si>
  <si>
    <t>0753155268(M)/0772335838(D)</t>
  </si>
  <si>
    <t>CK22438</t>
  </si>
  <si>
    <t>OKELLO NATHAN AMSTRONG</t>
  </si>
  <si>
    <t>CK22430</t>
  </si>
  <si>
    <t>0757889347(M)/0752617972(D)</t>
  </si>
  <si>
    <t>0773043077(M)/0751324229(D)</t>
  </si>
  <si>
    <t>0703889496(M)/0757889496(D)</t>
  </si>
  <si>
    <t>0755919645(M)/0707267566(D)</t>
  </si>
  <si>
    <t>NANSUBUGA ESTHER</t>
  </si>
  <si>
    <t>GUM JEFFREY OMONA</t>
  </si>
  <si>
    <t>SSALI RAMADHAN SSETTUMBA</t>
  </si>
  <si>
    <t>CK22448</t>
  </si>
  <si>
    <t>NAJJEMBA CARAH MUMBEJJA</t>
  </si>
  <si>
    <t>CK22449</t>
  </si>
  <si>
    <t>NAKIWALA CHRISTINE</t>
  </si>
  <si>
    <t>07003783529M)/0753193248(D)</t>
  </si>
  <si>
    <t>0706063637(M)/0752190394(D)</t>
  </si>
  <si>
    <t>SSEKABIRA JAYCE JOSIAH</t>
  </si>
  <si>
    <t>CK22450</t>
  </si>
  <si>
    <t>0751755091(M)/0700852949(D)</t>
  </si>
  <si>
    <t>0758022778(M)/0752614387(D)</t>
  </si>
  <si>
    <t>0704427006(M)/0758000751(D)</t>
  </si>
  <si>
    <t>CK22447</t>
  </si>
  <si>
    <t xml:space="preserve">DIRHAMS JAYREN GOOBI     </t>
  </si>
  <si>
    <t>CK22446</t>
  </si>
  <si>
    <t>CK22443</t>
  </si>
  <si>
    <t>CK22442</t>
  </si>
  <si>
    <t>0785073445(M)/0772478215(D)</t>
  </si>
  <si>
    <t>0756612453(D)</t>
  </si>
  <si>
    <t>0741387792{M}</t>
  </si>
  <si>
    <t xml:space="preserve"> </t>
  </si>
  <si>
    <t>CK22431</t>
  </si>
  <si>
    <t>NABUKENYA HAIRAH</t>
  </si>
  <si>
    <t>0782459217(D)/0709846984(M)</t>
  </si>
  <si>
    <t>0754509403(M)/0786503056(D)</t>
  </si>
  <si>
    <t>MUKWAYA PEITON</t>
  </si>
  <si>
    <t>MUGERWA CHRISTOPHER</t>
  </si>
  <si>
    <t>CK22429</t>
  </si>
  <si>
    <t>MINATALLAH OMAR ALMUSTAFAH</t>
  </si>
  <si>
    <t>MARYAM OMAR ALMUSTAFAH</t>
  </si>
  <si>
    <t>NANNOZI SHANICE JANELL</t>
  </si>
  <si>
    <t>KAKOOZA SHANISE ELIZABETH</t>
  </si>
  <si>
    <t>NAMUGENYI SKYLAR</t>
  </si>
  <si>
    <t>0754917160(D)</t>
  </si>
  <si>
    <t>TURYASIGURA LIAM</t>
  </si>
  <si>
    <t>SSEMAGANDA STEVEN</t>
  </si>
  <si>
    <t>CK22457</t>
  </si>
  <si>
    <t>0754998747(M)/0781057988(D)</t>
  </si>
  <si>
    <t>CK22262</t>
  </si>
  <si>
    <t>MULUNGI MAJORINE</t>
  </si>
  <si>
    <t>CK22468</t>
  </si>
  <si>
    <t>HALWAN AMAN</t>
  </si>
  <si>
    <t>CK22467</t>
  </si>
  <si>
    <t>0758261969(M)/0700364925(D)</t>
  </si>
  <si>
    <t>KIZITO UMAIRA HASIR</t>
  </si>
  <si>
    <t>CK22456</t>
  </si>
  <si>
    <t>IBEMBE SHAROM</t>
  </si>
  <si>
    <t>0705743519(m)</t>
  </si>
  <si>
    <t>MAYANJA AQEEL KIBOWA</t>
  </si>
  <si>
    <t>CK22665</t>
  </si>
  <si>
    <t>0705977598(M)/0701420320(D)</t>
  </si>
  <si>
    <t>WITNESS GOOD LUBEGA</t>
  </si>
  <si>
    <t>0781655885(M)/0786870308(D)</t>
  </si>
  <si>
    <t>CK22459</t>
  </si>
  <si>
    <t>CK22454</t>
  </si>
  <si>
    <t>CK22455</t>
  </si>
  <si>
    <t>KULUMBA ANGELLO</t>
  </si>
  <si>
    <t>CK22321</t>
  </si>
  <si>
    <t>0708544558(D)/0709326257(M)</t>
  </si>
  <si>
    <t>CK22460</t>
  </si>
  <si>
    <t>CK22458</t>
  </si>
  <si>
    <t>CK22462</t>
  </si>
  <si>
    <t>CK22463</t>
  </si>
  <si>
    <t>CK22464</t>
  </si>
  <si>
    <t>WASSWA AHMED</t>
  </si>
  <si>
    <t>NAKATO HAFITHA</t>
  </si>
  <si>
    <t>0703118858(M)/0703087799(D)</t>
  </si>
  <si>
    <t>KIZITO BADRIYAH</t>
  </si>
  <si>
    <t>YIGA CALTON GIOVANI</t>
  </si>
  <si>
    <t>0705743519(M)/0788651873(D)</t>
  </si>
  <si>
    <t>BARUNGI LIANAH</t>
  </si>
  <si>
    <t>CK22473</t>
  </si>
  <si>
    <t>CK22474</t>
  </si>
  <si>
    <t>CK22471</t>
  </si>
  <si>
    <t>NAMWABIRA AIMAN ESHAAL</t>
  </si>
  <si>
    <t>CK22472</t>
  </si>
  <si>
    <t>0785309420(M)/0774270455(D)</t>
  </si>
  <si>
    <t>SSEKAMATTE AMAL</t>
  </si>
  <si>
    <t>0753725487(M)/0700451199(D)</t>
  </si>
  <si>
    <t>CK22478</t>
  </si>
  <si>
    <t>0703050253(D)/0705880777(M)</t>
  </si>
  <si>
    <t>0701225969(D)/0703115638(M)</t>
  </si>
  <si>
    <t>MAHASIN ALMUSTAFAH</t>
  </si>
  <si>
    <t>MATOVU BONNY VIANY</t>
  </si>
  <si>
    <t>NASSIMBWA MALAIKA SHALOM</t>
  </si>
  <si>
    <t>CK22480</t>
  </si>
  <si>
    <t>0758690668(M)/0704643804(D)</t>
  </si>
  <si>
    <t>D.CARE</t>
  </si>
  <si>
    <t>KAHANGIRE ESTHER MYLA</t>
  </si>
  <si>
    <t>CK22479</t>
  </si>
  <si>
    <t>0706401551(M)/0784850738(D)</t>
  </si>
  <si>
    <t>CK22481</t>
  </si>
  <si>
    <t>AYESIGA LIAM</t>
  </si>
  <si>
    <t>CK22482</t>
  </si>
  <si>
    <t>0772655013(D)</t>
  </si>
  <si>
    <t>CK22483</t>
  </si>
  <si>
    <t>0781800120(M)/0759659538(D)</t>
  </si>
  <si>
    <t>NAMUGENYI PATRICIA MACKENZIE</t>
  </si>
  <si>
    <t>CK22484</t>
  </si>
  <si>
    <t>LUBEGA GENESIS RAELYN</t>
  </si>
  <si>
    <t>CK22495</t>
  </si>
  <si>
    <t>0757452317(M)/0705251058(D)</t>
  </si>
  <si>
    <t>0704908903(M)/0704165765(D)</t>
  </si>
  <si>
    <t>ULRIKA MARY</t>
  </si>
  <si>
    <t>CK22485</t>
  </si>
  <si>
    <t>0700367825(M)/0705220463(D)</t>
  </si>
  <si>
    <t>ULRICK EXPEDITO</t>
  </si>
  <si>
    <t>CK22486</t>
  </si>
  <si>
    <t xml:space="preserve">KIMERA ALVIN </t>
  </si>
  <si>
    <t>CK22487</t>
  </si>
  <si>
    <t>0792340024(M)/0707277978(D)</t>
  </si>
  <si>
    <t>CK22488</t>
  </si>
  <si>
    <t>0706347677(M)/0784012111(D)</t>
  </si>
  <si>
    <t>KARAMAGI AMIR TAHIR</t>
  </si>
  <si>
    <t>CK22489</t>
  </si>
  <si>
    <t>0780551846(M)/0704550330</t>
  </si>
  <si>
    <t>SSEMPAYA MELLANIE JEMIMAH</t>
  </si>
  <si>
    <t>CK22491</t>
  </si>
  <si>
    <t>ABAHO ETHAN</t>
  </si>
  <si>
    <t>CK22492</t>
  </si>
  <si>
    <t>0756429275(M)/0754017171(D)</t>
  </si>
  <si>
    <t>KARUNGI JUSTINE</t>
  </si>
  <si>
    <t>CK22493</t>
  </si>
  <si>
    <t>0751211677(M)/0750451683(D)</t>
  </si>
  <si>
    <t>NDIKOLA JAYSON</t>
  </si>
  <si>
    <t>CK22494</t>
  </si>
  <si>
    <t>0751451781(M)/0702067858(D)</t>
  </si>
  <si>
    <t>NAMATA RAHIYAH</t>
  </si>
  <si>
    <t>CK22490</t>
  </si>
  <si>
    <t>0743086442(G)</t>
  </si>
  <si>
    <t>MIGADDE ASHTON</t>
  </si>
  <si>
    <t xml:space="preserve">CK 22506                                                                </t>
  </si>
  <si>
    <t>NAKAMANYA AALIYAH KAYEMBA</t>
  </si>
  <si>
    <t>CK22510</t>
  </si>
  <si>
    <t>0757508137(M)/0784176193(D)</t>
  </si>
  <si>
    <t>ZZIWA MUWANGUZI ARONE</t>
  </si>
  <si>
    <t>CK22512</t>
  </si>
  <si>
    <t>0759336291(M)/0701624882(D)</t>
  </si>
  <si>
    <t>PRINCE GABRIEL NTABAASI</t>
  </si>
  <si>
    <t>CK22511</t>
  </si>
  <si>
    <t>0777573849(M)/0703758598(D)</t>
  </si>
  <si>
    <t>BALIGABYE MUTEBI EIDEN</t>
  </si>
  <si>
    <t>CK22509</t>
  </si>
  <si>
    <t>0777507220(M)/0782523098(D)</t>
  </si>
  <si>
    <t>SSENGOOBA DERON</t>
  </si>
  <si>
    <t>CK22508</t>
  </si>
  <si>
    <t>0754326308(M)/0701947327(D)</t>
  </si>
  <si>
    <t>NAKIGANDA TIANA</t>
  </si>
  <si>
    <t>CK22507</t>
  </si>
  <si>
    <t>0756787528(M)/0702402428(D)</t>
  </si>
  <si>
    <t>KASEKENDE ABDU LATIF</t>
  </si>
  <si>
    <t>CK22505</t>
  </si>
  <si>
    <t>0757502484(M)/</t>
  </si>
  <si>
    <t>SSEGABWE FRANK JOSHUA</t>
  </si>
  <si>
    <t>CK22496</t>
  </si>
  <si>
    <t>0700334333(M)/0755338970(D)</t>
  </si>
  <si>
    <t>CK22503</t>
  </si>
  <si>
    <t>0701423385(M)/0758998757(D)</t>
  </si>
  <si>
    <t>NALUNGA ROSE AUDREY</t>
  </si>
  <si>
    <t>CK22504</t>
  </si>
  <si>
    <t>0787181444(M)/0709291578(D)</t>
  </si>
  <si>
    <t>CK22513</t>
  </si>
  <si>
    <t>SSEMPIJJA JASON</t>
  </si>
  <si>
    <t>RAWAN MOHAMMED</t>
  </si>
  <si>
    <t>CK22514</t>
  </si>
  <si>
    <t>BABIRYE JOSELYNE</t>
  </si>
  <si>
    <t>NAKATO JASMINE</t>
  </si>
  <si>
    <t>CK22515</t>
  </si>
  <si>
    <t>CK22516</t>
  </si>
  <si>
    <t>0706357636(M)/0783680937(D)</t>
  </si>
  <si>
    <t>KAWOOYA  IHSAN</t>
  </si>
  <si>
    <t>CK22517</t>
  </si>
  <si>
    <t>0704512263(M)/0703844573(D)</t>
  </si>
  <si>
    <t>NATWIJUKA TIARA MALAIKA</t>
  </si>
  <si>
    <t>CK22500</t>
  </si>
  <si>
    <t>0775829198(M)</t>
  </si>
  <si>
    <t>NAMUJJU CLARA</t>
  </si>
  <si>
    <t>CK22497</t>
  </si>
  <si>
    <t>0704786865(D)</t>
  </si>
  <si>
    <t>TYBA ANES ABDALLAH</t>
  </si>
  <si>
    <t>CK22519</t>
  </si>
  <si>
    <t>0776689062(M)/0766545181</t>
  </si>
  <si>
    <t>BASHIME PETRA VALENTINA</t>
  </si>
  <si>
    <t>CK22520</t>
  </si>
  <si>
    <t>0756478260(M)/0758026343(D)</t>
  </si>
  <si>
    <t>IBRAHIM ADEL</t>
  </si>
  <si>
    <t>CK22521</t>
  </si>
  <si>
    <t>0726731878(M)/</t>
  </si>
  <si>
    <t>BWOGI ALYNAH JZANEL</t>
  </si>
  <si>
    <t>CK22523</t>
  </si>
  <si>
    <t>0705848498(M)/0706074725(D)</t>
  </si>
  <si>
    <t>NAMUGERA SALHA</t>
  </si>
  <si>
    <t>CK22522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</si>
  <si>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</si>
  <si>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NABAGANZI ANGEL MALAIKA</t>
  </si>
  <si>
    <t>CK22527</t>
  </si>
  <si>
    <t>0783522506(M)/0772538290(D)</t>
  </si>
  <si>
    <t>KANYESIGYE CARLSON</t>
  </si>
  <si>
    <t>CK22526</t>
  </si>
  <si>
    <t>0789795142(M)/0703015228(D)</t>
  </si>
  <si>
    <t>AMORA POWERS MATEPO</t>
  </si>
  <si>
    <t>CK22525</t>
  </si>
  <si>
    <t>0701879439(M)/0702423084</t>
  </si>
  <si>
    <t>SSEMAKOKIRO DAVID</t>
  </si>
  <si>
    <t>CK22524</t>
  </si>
  <si>
    <t>0740743879(M)/0757312922(D)</t>
  </si>
  <si>
    <t>NABYONGA KITIIBWA SEANAN</t>
  </si>
  <si>
    <t>0775770511(M)/0703698131</t>
  </si>
  <si>
    <t>NAKAZIBWE FABIOLA</t>
  </si>
  <si>
    <t>CK22529</t>
  </si>
  <si>
    <t>07094864549M)/0752106386</t>
  </si>
  <si>
    <t>KARABO MARTHA ANSHEMEZA</t>
  </si>
  <si>
    <t>CK22498</t>
  </si>
  <si>
    <t>0781220882(M)/0781526202(D)</t>
  </si>
  <si>
    <t>0704097329(d)/0749202025(m)</t>
  </si>
  <si>
    <t>SEKAYIBA ARHAM</t>
  </si>
  <si>
    <t>ROYAL CALVAT KAKUNGULU</t>
  </si>
  <si>
    <t>CK22536</t>
  </si>
  <si>
    <t>0788541251(M)</t>
  </si>
  <si>
    <t>MUGISHA ELON</t>
  </si>
  <si>
    <t>CK22535</t>
  </si>
  <si>
    <t>0783021578(M)/0780505186(D)</t>
  </si>
  <si>
    <t>HASBALLAH GASSAN</t>
  </si>
  <si>
    <t>CK22534</t>
  </si>
  <si>
    <t>0793394389(M)/</t>
  </si>
  <si>
    <t>CK22533</t>
  </si>
  <si>
    <t>0741792901(M)/0702733825(D)</t>
  </si>
  <si>
    <t>AYESIGA MOHAMMED</t>
  </si>
  <si>
    <t>CK22532</t>
  </si>
  <si>
    <t>0777457470(M)/0772713847(D)</t>
  </si>
  <si>
    <t>AKORAGYE AARON</t>
  </si>
  <si>
    <t>CK22530</t>
  </si>
  <si>
    <t>0772745951(M)/0766461699(D)</t>
  </si>
  <si>
    <t>SSEWANYANNA PRESLEY PHILLIP</t>
  </si>
  <si>
    <t>CK22528</t>
  </si>
  <si>
    <t>0766241321(M)/0776624842</t>
  </si>
  <si>
    <t>NAKIMULI RAYHANA</t>
  </si>
  <si>
    <t>CK22499</t>
  </si>
  <si>
    <t>ASHANUT ZURI BRIELLA</t>
  </si>
  <si>
    <t>CK22440</t>
  </si>
  <si>
    <t>NYAMUSE BRENDA</t>
  </si>
  <si>
    <t>CK22538</t>
  </si>
  <si>
    <t>0776760374(M)</t>
  </si>
  <si>
    <t>ALEXANDER SSUNA NTALE</t>
  </si>
  <si>
    <t>CK22537</t>
  </si>
  <si>
    <t>0701474512(M)/0776517915(D)</t>
  </si>
  <si>
    <t>0748361062(m)/0752269207(D)</t>
  </si>
  <si>
    <t>GAYONGA MYRAH</t>
  </si>
  <si>
    <t>CK22544</t>
  </si>
  <si>
    <t>0754355794(M)/0704497555(D)</t>
  </si>
  <si>
    <t>NAIRA SHABAN ISA</t>
  </si>
  <si>
    <t>CK22542</t>
  </si>
  <si>
    <t>0753422216(M)/0778612402(D)</t>
  </si>
  <si>
    <t>MAGALA LEAH TANEEM</t>
  </si>
  <si>
    <t>CK22541</t>
  </si>
  <si>
    <t>0754741552(M)/0766210732(D)</t>
  </si>
  <si>
    <t>NAJMA LUBEGA</t>
  </si>
  <si>
    <t>CK22540</t>
  </si>
  <si>
    <t>0755115071(M)/0750982228(D)</t>
  </si>
  <si>
    <t>LUTAAYA ADRIAN</t>
  </si>
  <si>
    <t>CK22539</t>
  </si>
  <si>
    <t>0705011726(M)/0753117984(D)</t>
  </si>
  <si>
    <t>NAMIYINGO BASHIRAH</t>
  </si>
  <si>
    <t>CK22545</t>
  </si>
  <si>
    <t>0743251967{M}/0751915337(D)</t>
  </si>
  <si>
    <t>IBEMBE LILY NAMUBIRU</t>
  </si>
  <si>
    <t>CK22546</t>
  </si>
  <si>
    <t>0784339202(M)/0777166362</t>
  </si>
  <si>
    <t>0784339202(M)/0777166362(D)</t>
  </si>
  <si>
    <t>NALUYIMA ANN CHLOE</t>
  </si>
  <si>
    <t>CK22543</t>
  </si>
  <si>
    <t>0745481918(M)/0701457450(D)</t>
  </si>
  <si>
    <t>0706083909(M)</t>
  </si>
  <si>
    <t>KIGGUNDU LOVIN RIELLA</t>
  </si>
  <si>
    <t>CK22501</t>
  </si>
  <si>
    <t>0788887121(M)/0702815856(D)</t>
  </si>
  <si>
    <t>`</t>
  </si>
  <si>
    <t>BATEESA JAMES</t>
  </si>
  <si>
    <t>0752118231(M)/0754625662(D)</t>
  </si>
  <si>
    <t>MWAMI ROGERS</t>
  </si>
  <si>
    <t>CK22565</t>
  </si>
  <si>
    <t>NASSIWA TENDO TREASURE</t>
  </si>
  <si>
    <t>CK22550</t>
  </si>
  <si>
    <t>0782292768(M)/0704427463(D)</t>
  </si>
  <si>
    <t>MATOVU TIRMDHIE BAYAN</t>
  </si>
  <si>
    <t>CK22548</t>
  </si>
  <si>
    <t>MUKISA MARNIE SSEKASI</t>
  </si>
  <si>
    <t>CK22547</t>
  </si>
  <si>
    <t>0756787528(M)/0753835686(D)</t>
  </si>
  <si>
    <t>SSETUME DERRICK</t>
  </si>
  <si>
    <t>0776787571(D)/0754946800</t>
  </si>
  <si>
    <t>NANKABIRWA DAISY</t>
  </si>
  <si>
    <t>0778289977(M)</t>
  </si>
  <si>
    <t>SSAZI MARK RONALD</t>
  </si>
  <si>
    <t>KIRYOWA SHAHID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</si>
</sst>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Arial"/>
      <family val="2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20"/>
      <name val="Cambria"/>
      <family val="2"/>
      <scheme val="major"/>
    </font>
    <font>
      <b/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name val="Arial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1" xfId="0" applyNumberFormat="1" applyFont="1" applyBorder="1"/>
    <xf numFmtId="3" fontId="2" fillId="0" borderId="0" xfId="0" applyNumberFormat="1" applyFont="1" applyBorder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41" fontId="4" fillId="0" borderId="1" xfId="0" applyNumberFormat="1" applyFont="1" applyBorder="1"/>
    <xf numFmtId="3" fontId="3" fillId="0" borderId="1" xfId="0" applyNumberFormat="1" applyFont="1" applyBorder="1"/>
    <xf numFmtId="41" fontId="2" fillId="0" borderId="1" xfId="0" applyNumberFormat="1" applyFont="1" applyBorder="1"/>
    <xf numFmtId="0" fontId="3" fillId="0" borderId="0" xfId="0" applyFont="1" applyBorder="1"/>
    <xf numFmtId="0" fontId="4" fillId="0" borderId="1" xfId="0" applyFont="1" applyFill="1" applyBorder="1"/>
    <xf numFmtId="3" fontId="4" fillId="0" borderId="1" xfId="0" applyNumberFormat="1" applyFont="1" applyBorder="1"/>
    <xf numFmtId="3" fontId="4" fillId="0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/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2" fillId="0" borderId="0" xfId="0" applyFont="1" applyBorder="1"/>
    <xf numFmtId="0" fontId="4" fillId="0" borderId="0" xfId="0" applyFont="1" applyBorder="1"/>
    <xf numFmtId="0" fontId="5" fillId="0" borderId="1" xfId="0" applyFont="1" applyBorder="1" applyProtection="1">
      <protection locked="0"/>
    </xf>
    <xf numFmtId="0" fontId="6" fillId="0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quotePrefix="1" applyFont="1" applyBorder="1"/>
    <xf numFmtId="0" fontId="8" fillId="0" borderId="1" xfId="0" quotePrefix="1" applyFont="1" applyFill="1" applyBorder="1"/>
    <xf numFmtId="0" fontId="7" fillId="0" borderId="1" xfId="0" quotePrefix="1" applyFont="1" applyFill="1" applyBorder="1"/>
    <xf numFmtId="0" fontId="7" fillId="0" borderId="1" xfId="0" applyFont="1" applyFill="1" applyBorder="1"/>
    <xf numFmtId="0" fontId="7" fillId="0" borderId="0" xfId="0" applyFont="1" applyBorder="1"/>
    <xf numFmtId="0" fontId="7" fillId="0" borderId="0" xfId="0" applyFont="1"/>
    <xf numFmtId="3" fontId="9" fillId="0" borderId="1" xfId="0" applyNumberFormat="1" applyFont="1" applyBorder="1"/>
    <xf numFmtId="0" fontId="0" fillId="0" borderId="0" xfId="0" applyFont="1"/>
    <xf numFmtId="0" fontId="10" fillId="0" borderId="1" xfId="0" applyFont="1" applyFill="1" applyBorder="1" applyAlignment="1">
      <alignment horizontal="left"/>
    </xf>
    <xf numFmtId="0" fontId="2" fillId="0" borderId="1" xfId="0" applyFont="1" applyFill="1" applyBorder="1"/>
    <xf numFmtId="41" fontId="4" fillId="0" borderId="1" xfId="0" applyNumberFormat="1" applyFont="1" applyFill="1" applyBorder="1"/>
    <xf numFmtId="0" fontId="9" fillId="0" borderId="1" xfId="0" applyFont="1" applyBorder="1"/>
    <xf numFmtId="0" fontId="11" fillId="0" borderId="0" xfId="0" applyFont="1"/>
    <xf numFmtId="0" fontId="13" fillId="0" borderId="0" xfId="0" applyFont="1"/>
    <xf numFmtId="0" fontId="12" fillId="0" borderId="0" xfId="0" applyFont="1"/>
    <xf numFmtId="0" fontId="6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0" fontId="14" fillId="0" borderId="1" xfId="0" applyFont="1" applyBorder="1" applyProtection="1">
      <protection locked="0"/>
    </xf>
    <xf numFmtId="0" fontId="10" fillId="0" borderId="1" xfId="0" applyFont="1" applyFill="1" applyBorder="1"/>
    <xf numFmtId="0" fontId="10" fillId="0" borderId="0" xfId="0" applyFont="1" applyFill="1" applyBorder="1"/>
    <xf numFmtId="0" fontId="6" fillId="0" borderId="0" xfId="0" applyFont="1" applyBorder="1"/>
    <xf numFmtId="0" fontId="6" fillId="0" borderId="1" xfId="0" applyFont="1" applyFill="1" applyBorder="1" applyAlignment="1">
      <alignment horizontal="left" vertical="top"/>
    </xf>
    <xf numFmtId="0" fontId="6" fillId="0" borderId="1" xfId="0" quotePrefix="1" applyFont="1" applyFill="1" applyBorder="1" applyAlignment="1">
      <alignment horizontal="left" vertical="top"/>
    </xf>
  </cellXfs>
  <cellStyles count="1">
    <cellStyle name="Normal" xfId="0" builtinId="0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8"/>
  <sheetViews>
    <sheetView tabSelected="1" zoomScale="55" zoomScaleNormal="55" workbookViewId="0">
      <selection activeCell="N7" sqref="N7"/>
    </sheetView>
  </sheetViews>
  <sheetFormatPr defaultRowHeight="14.4" x14ac:dyDescent="0.3"/>
  <cols>
    <col min="1" max="1" width="8.88671875" customWidth="1"/>
    <col min="2" max="2" width="71.5546875" customWidth="1"/>
    <col min="3" max="3" width="25.5546875" customWidth="1"/>
    <col min="4" max="4" width="18" customWidth="1"/>
    <col min="5" max="5" width="50.44140625" customWidth="1"/>
  </cols>
  <sheetData>
    <row r="1" spans="1:19" ht="25.8" x14ac:dyDescent="0.5">
      <c r="A1" s="46"/>
      <c r="B1" s="46" t="s">
        <v>0</v>
      </c>
      <c r="C1" s="46"/>
      <c r="D1" s="46"/>
      <c r="E1" s="36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ht="25.8" x14ac:dyDescent="0.5">
      <c r="A2" s="47"/>
      <c r="B2" s="48" t="s">
        <v>1</v>
      </c>
      <c r="C2" s="48"/>
      <c r="D2" s="48"/>
      <c r="E2" s="36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3" spans="1:19" ht="25.8" x14ac:dyDescent="0.5">
      <c r="A3" s="51" t="s">
        <v>25</v>
      </c>
      <c r="B3" s="50" t="s">
        <v>3</v>
      </c>
      <c r="C3" s="50"/>
      <c r="D3" s="50" t="s">
        <v>4</v>
      </c>
      <c r="E3" s="42" t="s">
        <v>196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</row>
    <row r="4" spans="1:19" ht="25.8" x14ac:dyDescent="0.5">
      <c r="A4" s="51">
        <v>1</v>
      </c>
      <c r="B4" s="52" t="s">
        <v>571</v>
      </c>
      <c r="C4" s="52"/>
      <c r="D4" s="52" t="s">
        <v>496</v>
      </c>
      <c r="E4" s="30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spans="1:19" ht="25.8" x14ac:dyDescent="0.5">
      <c r="A5" s="51"/>
      <c r="B5" s="52" t="s">
        <v>572</v>
      </c>
      <c r="C5" s="52" t="s">
        <v>573</v>
      </c>
      <c r="D5" s="52" t="s">
        <v>496</v>
      </c>
      <c r="E5" s="30" t="s">
        <v>429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</row>
    <row r="6" spans="1:19" ht="25.8" x14ac:dyDescent="0.5">
      <c r="A6" s="51"/>
      <c r="B6" s="52" t="s">
        <v>671</v>
      </c>
      <c r="C6" s="52" t="s">
        <v>672</v>
      </c>
      <c r="D6" s="52" t="s">
        <v>496</v>
      </c>
      <c r="E6" s="30" t="s">
        <v>673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</row>
    <row r="7" spans="1:19" ht="25.8" x14ac:dyDescent="0.5">
      <c r="A7" s="51"/>
      <c r="B7" s="52"/>
      <c r="C7" s="52"/>
      <c r="D7" s="52"/>
      <c r="E7" s="30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1:19" ht="25.8" x14ac:dyDescent="0.5">
      <c r="A8" s="51"/>
      <c r="B8" s="52"/>
      <c r="C8" s="52"/>
      <c r="D8" s="52"/>
      <c r="E8" s="30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</row>
    <row r="9" spans="1:19" ht="25.8" x14ac:dyDescent="0.5">
      <c r="A9" s="51"/>
      <c r="B9" s="52"/>
      <c r="C9" s="52"/>
      <c r="D9" s="52"/>
      <c r="E9" s="30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</row>
    <row r="10" spans="1:19" ht="25.8" x14ac:dyDescent="0.5">
      <c r="A10" s="51"/>
      <c r="B10" s="52"/>
      <c r="C10" s="52"/>
      <c r="D10" s="52"/>
      <c r="E10" s="30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</row>
    <row r="11" spans="1:19" ht="25.8" x14ac:dyDescent="0.5">
      <c r="A11" s="51"/>
      <c r="B11" s="52"/>
      <c r="C11" s="52"/>
      <c r="D11" s="52"/>
      <c r="E11" s="30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</row>
    <row r="12" spans="1:19" ht="25.8" x14ac:dyDescent="0.5">
      <c r="A12" s="51"/>
      <c r="B12" s="52"/>
      <c r="C12" s="52"/>
      <c r="D12" s="52"/>
      <c r="E12" s="30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</row>
    <row r="13" spans="1:19" ht="25.8" x14ac:dyDescent="0.5">
      <c r="A13" s="51"/>
      <c r="B13" s="52"/>
      <c r="C13" s="52"/>
      <c r="D13" s="52"/>
      <c r="E13" s="30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</row>
    <row r="14" spans="1:19" ht="25.8" x14ac:dyDescent="0.5">
      <c r="A14" s="51"/>
      <c r="B14" s="52"/>
      <c r="C14" s="52"/>
      <c r="D14" s="52"/>
      <c r="E14" s="30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</row>
    <row r="15" spans="1:19" ht="25.8" x14ac:dyDescent="0.5">
      <c r="A15" s="51"/>
      <c r="B15" s="52" t="s">
        <v>26</v>
      </c>
      <c r="C15" s="52"/>
      <c r="D15" s="52"/>
      <c r="E15" s="30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</row>
    <row r="16" spans="1:19" ht="25.8" x14ac:dyDescent="0.5">
      <c r="A16" s="47"/>
      <c r="B16" s="48"/>
      <c r="C16" s="48"/>
      <c r="D16" s="48"/>
      <c r="E16" s="36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</row>
    <row r="17" spans="1:19" ht="25.8" x14ac:dyDescent="0.5">
      <c r="A17" s="47"/>
      <c r="B17" s="48"/>
      <c r="C17" s="48"/>
      <c r="D17" s="48"/>
      <c r="E17" s="36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</row>
    <row r="18" spans="1:19" ht="25.8" x14ac:dyDescent="0.5">
      <c r="A18" s="47"/>
      <c r="B18" s="48"/>
      <c r="C18" s="48"/>
      <c r="D18" s="48"/>
      <c r="E18" s="36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</row>
    <row r="19" spans="1:19" ht="31.5" customHeight="1" x14ac:dyDescent="0.5">
      <c r="A19" s="54" t="s">
        <v>25</v>
      </c>
      <c r="B19" s="49" t="s">
        <v>3</v>
      </c>
      <c r="C19" s="49"/>
      <c r="D19" s="49" t="s">
        <v>4</v>
      </c>
      <c r="E19" s="30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1:19" ht="31.5" customHeight="1" x14ac:dyDescent="0.5">
      <c r="A20" s="51">
        <v>1</v>
      </c>
      <c r="B20" s="54" t="s">
        <v>374</v>
      </c>
      <c r="C20" s="53" t="s">
        <v>375</v>
      </c>
      <c r="D20" s="51" t="s">
        <v>6</v>
      </c>
      <c r="E20" s="31" t="s">
        <v>392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</row>
    <row r="21" spans="1:19" ht="31.5" customHeight="1" x14ac:dyDescent="0.5">
      <c r="A21" s="51">
        <v>2</v>
      </c>
      <c r="B21" s="54" t="s">
        <v>457</v>
      </c>
      <c r="C21" s="53" t="s">
        <v>458</v>
      </c>
      <c r="D21" s="51" t="s">
        <v>6</v>
      </c>
      <c r="E21" s="31" t="s">
        <v>459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</row>
    <row r="22" spans="1:19" ht="31.5" customHeight="1" x14ac:dyDescent="0.5">
      <c r="A22" s="51">
        <v>3</v>
      </c>
      <c r="B22" s="54" t="s">
        <v>492</v>
      </c>
      <c r="C22" s="53" t="s">
        <v>565</v>
      </c>
      <c r="D22" s="51" t="s">
        <v>6</v>
      </c>
      <c r="E22" s="31" t="s">
        <v>246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</row>
    <row r="23" spans="1:19" ht="31.5" customHeight="1" x14ac:dyDescent="0.5">
      <c r="A23" s="51">
        <v>4</v>
      </c>
      <c r="B23" s="54" t="s">
        <v>493</v>
      </c>
      <c r="C23" s="53" t="s">
        <v>494</v>
      </c>
      <c r="D23" s="51" t="s">
        <v>6</v>
      </c>
      <c r="E23" s="31" t="s">
        <v>495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</row>
    <row r="24" spans="1:19" ht="31.5" customHeight="1" x14ac:dyDescent="0.5">
      <c r="A24" s="51">
        <v>5</v>
      </c>
      <c r="B24" s="54" t="s">
        <v>497</v>
      </c>
      <c r="C24" s="53" t="s">
        <v>498</v>
      </c>
      <c r="D24" s="51" t="s">
        <v>6</v>
      </c>
      <c r="E24" s="31" t="s">
        <v>499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</row>
    <row r="25" spans="1:19" ht="31.5" customHeight="1" x14ac:dyDescent="0.5">
      <c r="A25" s="51">
        <v>6</v>
      </c>
      <c r="B25" s="54" t="s">
        <v>501</v>
      </c>
      <c r="C25" s="53" t="s">
        <v>502</v>
      </c>
      <c r="D25" s="51" t="s">
        <v>6</v>
      </c>
      <c r="E25" s="31" t="s">
        <v>503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</row>
    <row r="26" spans="1:19" ht="31.5" customHeight="1" x14ac:dyDescent="0.5">
      <c r="A26" s="51">
        <v>7</v>
      </c>
      <c r="B26" s="54" t="s">
        <v>506</v>
      </c>
      <c r="C26" s="53" t="s">
        <v>507</v>
      </c>
      <c r="D26" s="51" t="s">
        <v>6</v>
      </c>
      <c r="E26" s="31" t="s">
        <v>511</v>
      </c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</row>
    <row r="27" spans="1:19" ht="31.5" customHeight="1" x14ac:dyDescent="0.5">
      <c r="A27" s="51">
        <v>8</v>
      </c>
      <c r="B27" s="54" t="s">
        <v>508</v>
      </c>
      <c r="C27" s="53" t="s">
        <v>509</v>
      </c>
      <c r="D27" s="51" t="s">
        <v>6</v>
      </c>
      <c r="E27" s="31" t="s">
        <v>510</v>
      </c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</row>
    <row r="28" spans="1:19" ht="31.5" customHeight="1" x14ac:dyDescent="0.5">
      <c r="A28" s="51">
        <v>9</v>
      </c>
      <c r="B28" s="54" t="s">
        <v>517</v>
      </c>
      <c r="C28" s="53" t="s">
        <v>518</v>
      </c>
      <c r="D28" s="51" t="s">
        <v>6</v>
      </c>
      <c r="E28" s="31" t="s">
        <v>519</v>
      </c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</row>
    <row r="29" spans="1:19" ht="31.5" customHeight="1" x14ac:dyDescent="0.5">
      <c r="A29" s="51">
        <v>10</v>
      </c>
      <c r="B29" s="54"/>
      <c r="C29" s="53" t="s">
        <v>520</v>
      </c>
      <c r="D29" s="51" t="s">
        <v>6</v>
      </c>
      <c r="E29" s="31" t="s">
        <v>521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</row>
    <row r="30" spans="1:19" ht="31.5" customHeight="1" x14ac:dyDescent="0.5">
      <c r="A30" s="51">
        <v>11</v>
      </c>
      <c r="B30" s="54" t="s">
        <v>522</v>
      </c>
      <c r="C30" s="53" t="s">
        <v>523</v>
      </c>
      <c r="D30" s="51" t="s">
        <v>6</v>
      </c>
      <c r="E30" s="31" t="s">
        <v>524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1:19" ht="31.5" customHeight="1" x14ac:dyDescent="0.5">
      <c r="A31" s="51">
        <v>12</v>
      </c>
      <c r="B31" s="54" t="s">
        <v>525</v>
      </c>
      <c r="C31" s="53" t="s">
        <v>526</v>
      </c>
      <c r="D31" s="51" t="s">
        <v>6</v>
      </c>
      <c r="E31" s="31" t="s">
        <v>566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</row>
    <row r="32" spans="1:19" ht="31.5" customHeight="1" x14ac:dyDescent="0.5">
      <c r="A32" s="51">
        <v>13</v>
      </c>
      <c r="B32" s="54" t="s">
        <v>527</v>
      </c>
      <c r="C32" s="53" t="s">
        <v>528</v>
      </c>
      <c r="D32" s="51" t="s">
        <v>6</v>
      </c>
      <c r="E32" s="31" t="s">
        <v>529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</row>
    <row r="33" spans="1:19" ht="31.5" customHeight="1" x14ac:dyDescent="0.5">
      <c r="A33" s="51">
        <v>14</v>
      </c>
      <c r="B33" s="54" t="s">
        <v>530</v>
      </c>
      <c r="C33" s="53" t="s">
        <v>531</v>
      </c>
      <c r="D33" s="51" t="s">
        <v>6</v>
      </c>
      <c r="E33" s="31" t="s">
        <v>532</v>
      </c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</row>
    <row r="34" spans="1:19" ht="31.5" customHeight="1" x14ac:dyDescent="0.5">
      <c r="A34" s="51">
        <v>15</v>
      </c>
      <c r="B34" s="54" t="s">
        <v>533</v>
      </c>
      <c r="C34" s="53" t="s">
        <v>534</v>
      </c>
      <c r="D34" s="51" t="s">
        <v>6</v>
      </c>
      <c r="E34" s="31" t="s">
        <v>535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</row>
    <row r="35" spans="1:19" ht="31.5" customHeight="1" x14ac:dyDescent="0.5">
      <c r="A35" s="51">
        <v>16</v>
      </c>
      <c r="B35" s="54" t="s">
        <v>536</v>
      </c>
      <c r="C35" s="53" t="s">
        <v>537</v>
      </c>
      <c r="D35" s="51" t="s">
        <v>6</v>
      </c>
      <c r="E35" s="31" t="s">
        <v>538</v>
      </c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</row>
    <row r="36" spans="1:19" ht="31.5" customHeight="1" x14ac:dyDescent="0.5">
      <c r="A36" s="51">
        <v>17</v>
      </c>
      <c r="B36" s="54" t="s">
        <v>539</v>
      </c>
      <c r="C36" s="53" t="s">
        <v>540</v>
      </c>
      <c r="D36" s="51" t="s">
        <v>6</v>
      </c>
      <c r="E36" s="31" t="s">
        <v>555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</row>
    <row r="37" spans="1:19" ht="31.5" customHeight="1" x14ac:dyDescent="0.5">
      <c r="A37" s="51">
        <v>18</v>
      </c>
      <c r="B37" s="54" t="s">
        <v>541</v>
      </c>
      <c r="C37" s="53" t="s">
        <v>542</v>
      </c>
      <c r="D37" s="51" t="s">
        <v>6</v>
      </c>
      <c r="E37" s="31" t="s">
        <v>543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</row>
    <row r="38" spans="1:19" ht="31.5" customHeight="1" x14ac:dyDescent="0.5">
      <c r="A38" s="51">
        <v>19</v>
      </c>
      <c r="B38" s="54" t="s">
        <v>544</v>
      </c>
      <c r="C38" s="53" t="s">
        <v>545</v>
      </c>
      <c r="D38" s="51" t="s">
        <v>6</v>
      </c>
      <c r="E38" s="31" t="s">
        <v>546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</row>
    <row r="39" spans="1:19" ht="31.5" customHeight="1" x14ac:dyDescent="0.5">
      <c r="A39" s="51">
        <v>20</v>
      </c>
      <c r="B39" s="54" t="s">
        <v>547</v>
      </c>
      <c r="C39" s="53" t="s">
        <v>548</v>
      </c>
      <c r="D39" s="51" t="s">
        <v>6</v>
      </c>
      <c r="E39" s="31" t="s">
        <v>549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</row>
    <row r="40" spans="1:19" ht="31.5" customHeight="1" x14ac:dyDescent="0.5">
      <c r="A40" s="51">
        <v>21</v>
      </c>
      <c r="B40" s="54" t="s">
        <v>550</v>
      </c>
      <c r="C40" s="53" t="s">
        <v>551</v>
      </c>
      <c r="D40" s="51" t="s">
        <v>6</v>
      </c>
      <c r="E40" s="31" t="s">
        <v>552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</row>
    <row r="41" spans="1:19" ht="31.5" customHeight="1" x14ac:dyDescent="0.5">
      <c r="A41" s="51">
        <v>22</v>
      </c>
      <c r="B41" s="54" t="s">
        <v>553</v>
      </c>
      <c r="C41" s="53" t="s">
        <v>554</v>
      </c>
      <c r="D41" s="51" t="s">
        <v>6</v>
      </c>
      <c r="E41" s="31" t="s">
        <v>361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</row>
    <row r="42" spans="1:19" ht="31.5" customHeight="1" x14ac:dyDescent="0.5">
      <c r="A42" s="51">
        <v>23</v>
      </c>
      <c r="B42" s="54" t="s">
        <v>556</v>
      </c>
      <c r="C42" s="53" t="s">
        <v>557</v>
      </c>
      <c r="D42" s="51" t="s">
        <v>6</v>
      </c>
      <c r="E42" s="31" t="s">
        <v>558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1:19" ht="31.5" customHeight="1" x14ac:dyDescent="0.5">
      <c r="A43" s="51">
        <v>24</v>
      </c>
      <c r="B43" s="54" t="s">
        <v>559</v>
      </c>
      <c r="C43" s="53" t="s">
        <v>560</v>
      </c>
      <c r="D43" s="51" t="s">
        <v>6</v>
      </c>
      <c r="E43" s="31" t="s">
        <v>561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</row>
    <row r="44" spans="1:19" ht="31.5" customHeight="1" x14ac:dyDescent="0.5">
      <c r="A44" s="51">
        <v>25</v>
      </c>
      <c r="B44" s="54" t="s">
        <v>562</v>
      </c>
      <c r="C44" s="53" t="s">
        <v>563</v>
      </c>
      <c r="D44" s="51" t="s">
        <v>6</v>
      </c>
      <c r="E44" s="31" t="s">
        <v>564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</row>
    <row r="45" spans="1:19" ht="31.5" customHeight="1" x14ac:dyDescent="0.5">
      <c r="A45" s="51">
        <v>26</v>
      </c>
      <c r="B45" s="54" t="s">
        <v>567</v>
      </c>
      <c r="C45" s="53" t="s">
        <v>568</v>
      </c>
      <c r="D45" s="51" t="s">
        <v>6</v>
      </c>
      <c r="E45" s="31" t="s">
        <v>569</v>
      </c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</row>
    <row r="46" spans="1:19" ht="31.5" customHeight="1" x14ac:dyDescent="0.5">
      <c r="A46" s="51">
        <v>27</v>
      </c>
      <c r="B46" s="54" t="s">
        <v>574</v>
      </c>
      <c r="C46" s="53" t="s">
        <v>576</v>
      </c>
      <c r="D46" s="51" t="s">
        <v>6</v>
      </c>
      <c r="E46" s="31" t="s">
        <v>578</v>
      </c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</row>
    <row r="47" spans="1:19" ht="31.5" customHeight="1" x14ac:dyDescent="0.5">
      <c r="A47" s="51">
        <v>28</v>
      </c>
      <c r="B47" s="54" t="s">
        <v>575</v>
      </c>
      <c r="C47" s="53" t="s">
        <v>577</v>
      </c>
      <c r="D47" s="51" t="s">
        <v>6</v>
      </c>
      <c r="E47" s="31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</row>
    <row r="48" spans="1:19" ht="31.5" customHeight="1" x14ac:dyDescent="0.5">
      <c r="A48" s="51">
        <v>29</v>
      </c>
      <c r="B48" s="54" t="s">
        <v>579</v>
      </c>
      <c r="C48" s="53" t="s">
        <v>580</v>
      </c>
      <c r="D48" s="51" t="s">
        <v>6</v>
      </c>
      <c r="E48" s="31" t="s">
        <v>581</v>
      </c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</row>
    <row r="49" spans="1:19" ht="31.5" customHeight="1" x14ac:dyDescent="0.5">
      <c r="A49" s="51">
        <v>30</v>
      </c>
      <c r="B49" s="54" t="s">
        <v>582</v>
      </c>
      <c r="C49" s="53" t="s">
        <v>583</v>
      </c>
      <c r="D49" s="51" t="s">
        <v>6</v>
      </c>
      <c r="E49" s="31" t="s">
        <v>584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1:19" ht="31.5" customHeight="1" x14ac:dyDescent="0.5">
      <c r="A50" s="51">
        <v>31</v>
      </c>
      <c r="B50" s="54" t="s">
        <v>591</v>
      </c>
      <c r="C50" s="53" t="s">
        <v>592</v>
      </c>
      <c r="D50" s="51" t="s">
        <v>6</v>
      </c>
      <c r="E50" s="31" t="s">
        <v>593</v>
      </c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</row>
    <row r="51" spans="1:19" ht="31.5" customHeight="1" x14ac:dyDescent="0.5">
      <c r="A51" s="51">
        <v>32</v>
      </c>
      <c r="B51" s="54" t="s">
        <v>597</v>
      </c>
      <c r="C51" s="53" t="s">
        <v>598</v>
      </c>
      <c r="D51" s="51" t="s">
        <v>6</v>
      </c>
      <c r="E51" s="31" t="s">
        <v>599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</row>
    <row r="52" spans="1:19" ht="31.5" customHeight="1" x14ac:dyDescent="0.5">
      <c r="A52" s="51">
        <v>33</v>
      </c>
      <c r="B52" s="54" t="s">
        <v>600</v>
      </c>
      <c r="C52" s="53" t="s">
        <v>601</v>
      </c>
      <c r="D52" s="51" t="s">
        <v>6</v>
      </c>
      <c r="E52" s="31" t="s">
        <v>602</v>
      </c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</row>
    <row r="53" spans="1:19" ht="31.5" customHeight="1" x14ac:dyDescent="0.5">
      <c r="A53" s="51">
        <v>34</v>
      </c>
      <c r="B53" s="54" t="s">
        <v>603</v>
      </c>
      <c r="C53" s="53" t="s">
        <v>604</v>
      </c>
      <c r="D53" s="51" t="s">
        <v>6</v>
      </c>
      <c r="E53" s="31" t="s">
        <v>605</v>
      </c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</row>
    <row r="54" spans="1:19" ht="31.5" customHeight="1" x14ac:dyDescent="0.5">
      <c r="A54" s="51">
        <v>35</v>
      </c>
      <c r="B54" s="54" t="s">
        <v>609</v>
      </c>
      <c r="C54" s="53" t="s">
        <v>610</v>
      </c>
      <c r="D54" s="51" t="s">
        <v>6</v>
      </c>
      <c r="E54" s="31" t="s">
        <v>611</v>
      </c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</row>
    <row r="55" spans="1:19" ht="31.5" customHeight="1" x14ac:dyDescent="0.5">
      <c r="A55" s="51">
        <v>36</v>
      </c>
      <c r="B55" s="54" t="s">
        <v>615</v>
      </c>
      <c r="C55" s="53" t="s">
        <v>570</v>
      </c>
      <c r="D55" s="51" t="s">
        <v>6</v>
      </c>
      <c r="E55" s="31" t="s">
        <v>616</v>
      </c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1:19" ht="31.5" customHeight="1" x14ac:dyDescent="0.5">
      <c r="A56" s="51">
        <v>37</v>
      </c>
      <c r="B56" s="54" t="s">
        <v>617</v>
      </c>
      <c r="C56" s="53" t="s">
        <v>618</v>
      </c>
      <c r="D56" s="51" t="s">
        <v>6</v>
      </c>
      <c r="E56" s="31" t="s">
        <v>619</v>
      </c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</row>
    <row r="57" spans="1:19" ht="31.5" customHeight="1" x14ac:dyDescent="0.5">
      <c r="A57" s="51">
        <v>38</v>
      </c>
      <c r="B57" s="54" t="s">
        <v>620</v>
      </c>
      <c r="C57" s="53" t="s">
        <v>621</v>
      </c>
      <c r="D57" s="51" t="s">
        <v>6</v>
      </c>
      <c r="E57" s="31" t="s">
        <v>622</v>
      </c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</row>
    <row r="58" spans="1:19" ht="31.5" customHeight="1" x14ac:dyDescent="0.5">
      <c r="A58" s="51">
        <v>39</v>
      </c>
      <c r="B58" s="54" t="s">
        <v>625</v>
      </c>
      <c r="C58" s="53" t="s">
        <v>626</v>
      </c>
      <c r="D58" s="51" t="s">
        <v>6</v>
      </c>
      <c r="E58" s="31" t="s">
        <v>627</v>
      </c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</row>
    <row r="59" spans="1:19" ht="31.5" customHeight="1" x14ac:dyDescent="0.5">
      <c r="A59" s="51">
        <v>40</v>
      </c>
      <c r="B59" s="54" t="s">
        <v>628</v>
      </c>
      <c r="C59" s="53" t="s">
        <v>629</v>
      </c>
      <c r="D59" s="51" t="s">
        <v>6</v>
      </c>
      <c r="E59" s="31" t="s">
        <v>630</v>
      </c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</row>
    <row r="60" spans="1:19" ht="31.5" customHeight="1" x14ac:dyDescent="0.5">
      <c r="A60" s="51">
        <v>41</v>
      </c>
      <c r="B60" s="54" t="s">
        <v>624</v>
      </c>
      <c r="C60" s="53" t="s">
        <v>634</v>
      </c>
      <c r="D60" s="51" t="s">
        <v>6</v>
      </c>
      <c r="E60" s="31" t="s">
        <v>635</v>
      </c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</row>
    <row r="61" spans="1:19" ht="31.5" customHeight="1" x14ac:dyDescent="0.5">
      <c r="A61" s="51">
        <v>42</v>
      </c>
      <c r="B61" s="54" t="s">
        <v>636</v>
      </c>
      <c r="C61" s="53" t="s">
        <v>637</v>
      </c>
      <c r="D61" s="51" t="s">
        <v>6</v>
      </c>
      <c r="E61" s="31" t="s">
        <v>638</v>
      </c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</row>
    <row r="62" spans="1:19" ht="31.5" customHeight="1" x14ac:dyDescent="0.5">
      <c r="A62" s="51">
        <v>43</v>
      </c>
      <c r="B62" s="54" t="s">
        <v>642</v>
      </c>
      <c r="C62" s="53" t="s">
        <v>643</v>
      </c>
      <c r="D62" s="51" t="s">
        <v>6</v>
      </c>
      <c r="E62" s="31" t="s">
        <v>644</v>
      </c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1:19" ht="31.5" customHeight="1" x14ac:dyDescent="0.5">
      <c r="A63" s="51">
        <v>44</v>
      </c>
      <c r="B63" s="54" t="s">
        <v>645</v>
      </c>
      <c r="C63" s="53" t="s">
        <v>646</v>
      </c>
      <c r="D63" s="51" t="s">
        <v>6</v>
      </c>
      <c r="E63" s="31" t="s">
        <v>681</v>
      </c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</row>
    <row r="64" spans="1:19" ht="31.5" customHeight="1" x14ac:dyDescent="0.5">
      <c r="A64" s="51">
        <v>45</v>
      </c>
      <c r="B64" s="54" t="s">
        <v>647</v>
      </c>
      <c r="C64" s="53" t="s">
        <v>648</v>
      </c>
      <c r="D64" s="51" t="s">
        <v>6</v>
      </c>
      <c r="E64" s="31" t="s">
        <v>429</v>
      </c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</row>
    <row r="65" spans="1:19" ht="31.5" customHeight="1" x14ac:dyDescent="0.5">
      <c r="A65" s="51">
        <v>46</v>
      </c>
      <c r="B65" s="54" t="s">
        <v>652</v>
      </c>
      <c r="C65" s="53" t="s">
        <v>653</v>
      </c>
      <c r="D65" s="51" t="s">
        <v>6</v>
      </c>
      <c r="E65" s="31" t="s">
        <v>654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</row>
    <row r="66" spans="1:19" ht="31.5" customHeight="1" x14ac:dyDescent="0.5">
      <c r="A66" s="51">
        <v>47</v>
      </c>
      <c r="B66" s="54" t="s">
        <v>656</v>
      </c>
      <c r="C66" s="53" t="s">
        <v>657</v>
      </c>
      <c r="D66" s="51" t="s">
        <v>6</v>
      </c>
      <c r="E66" s="31" t="s">
        <v>658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</row>
    <row r="67" spans="1:19" ht="31.5" customHeight="1" x14ac:dyDescent="0.5">
      <c r="A67" s="51">
        <v>48</v>
      </c>
      <c r="B67" s="54" t="s">
        <v>659</v>
      </c>
      <c r="C67" s="53" t="s">
        <v>660</v>
      </c>
      <c r="D67" s="51" t="s">
        <v>6</v>
      </c>
      <c r="E67" s="31" t="s">
        <v>661</v>
      </c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</row>
    <row r="68" spans="1:19" ht="31.5" customHeight="1" x14ac:dyDescent="0.5">
      <c r="A68" s="51">
        <v>49</v>
      </c>
      <c r="B68" s="54" t="s">
        <v>668</v>
      </c>
      <c r="C68" s="53" t="s">
        <v>669</v>
      </c>
      <c r="D68" s="51" t="s">
        <v>6</v>
      </c>
      <c r="E68" s="31" t="s">
        <v>670</v>
      </c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</row>
    <row r="69" spans="1:19" ht="31.5" customHeight="1" x14ac:dyDescent="0.5">
      <c r="A69" s="51">
        <v>50</v>
      </c>
      <c r="B69" s="54" t="s">
        <v>674</v>
      </c>
      <c r="C69" s="53" t="s">
        <v>675</v>
      </c>
      <c r="D69" s="51" t="s">
        <v>6</v>
      </c>
      <c r="E69" s="31" t="s">
        <v>676</v>
      </c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</row>
    <row r="70" spans="1:19" ht="31.5" customHeight="1" x14ac:dyDescent="0.5">
      <c r="A70" s="51">
        <v>51</v>
      </c>
      <c r="B70" s="54" t="s">
        <v>682</v>
      </c>
      <c r="C70" s="53" t="s">
        <v>683</v>
      </c>
      <c r="D70" s="51" t="s">
        <v>6</v>
      </c>
      <c r="E70" s="31" t="s">
        <v>684</v>
      </c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</row>
    <row r="71" spans="1:19" ht="31.5" customHeight="1" x14ac:dyDescent="0.5">
      <c r="A71" s="51">
        <v>52</v>
      </c>
      <c r="B71" s="54" t="s">
        <v>686</v>
      </c>
      <c r="C71" s="53" t="s">
        <v>449</v>
      </c>
      <c r="D71" s="51" t="s">
        <v>6</v>
      </c>
      <c r="E71" s="31" t="s">
        <v>687</v>
      </c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</row>
    <row r="72" spans="1:19" ht="31.5" customHeight="1" x14ac:dyDescent="0.5">
      <c r="A72" s="51">
        <v>53</v>
      </c>
      <c r="B72" s="54" t="s">
        <v>698</v>
      </c>
      <c r="C72" s="53" t="s">
        <v>380</v>
      </c>
      <c r="D72" s="51" t="s">
        <v>6</v>
      </c>
      <c r="E72" s="31" t="s">
        <v>699</v>
      </c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</row>
    <row r="73" spans="1:19" ht="31.5" customHeight="1" x14ac:dyDescent="0.5">
      <c r="A73" s="51"/>
      <c r="B73" s="54"/>
      <c r="C73" s="53"/>
      <c r="D73" s="51"/>
      <c r="E73" s="31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</row>
    <row r="74" spans="1:19" ht="31.5" customHeight="1" x14ac:dyDescent="0.5">
      <c r="A74" s="51"/>
      <c r="B74" s="54"/>
      <c r="C74" s="53"/>
      <c r="D74" s="51"/>
      <c r="E74" s="31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1:19" ht="31.5" customHeight="1" x14ac:dyDescent="0.5">
      <c r="A75" s="51"/>
      <c r="B75" s="54"/>
      <c r="C75" s="53"/>
      <c r="D75" s="51"/>
      <c r="E75" s="31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</row>
    <row r="76" spans="1:19" ht="31.5" customHeight="1" x14ac:dyDescent="0.5">
      <c r="A76" s="51"/>
      <c r="B76" s="54"/>
      <c r="C76" s="53"/>
      <c r="D76" s="51"/>
      <c r="E76" s="31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</row>
    <row r="77" spans="1:19" ht="31.5" customHeight="1" x14ac:dyDescent="0.5">
      <c r="A77" s="51"/>
      <c r="B77" s="54"/>
      <c r="C77" s="53"/>
      <c r="D77" s="51"/>
      <c r="E77" s="31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</row>
    <row r="78" spans="1:19" ht="31.5" customHeight="1" x14ac:dyDescent="0.5">
      <c r="A78" s="51"/>
      <c r="B78" s="54"/>
      <c r="C78" s="53"/>
      <c r="D78" s="51"/>
      <c r="E78" s="31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</row>
    <row r="79" spans="1:19" ht="31.5" customHeight="1" x14ac:dyDescent="0.5">
      <c r="A79" s="51"/>
      <c r="B79" s="54"/>
      <c r="C79" s="53"/>
      <c r="D79" s="51"/>
      <c r="E79" s="31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</row>
    <row r="80" spans="1:19" ht="31.5" customHeight="1" x14ac:dyDescent="0.5">
      <c r="A80" s="51"/>
      <c r="B80" s="54"/>
      <c r="C80" s="53"/>
      <c r="D80" s="51"/>
      <c r="E80" s="31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</row>
    <row r="81" spans="1:19" ht="31.5" customHeight="1" x14ac:dyDescent="0.5">
      <c r="A81" s="54"/>
      <c r="B81" s="54"/>
      <c r="C81" s="54"/>
      <c r="D81" s="51"/>
      <c r="E81" s="30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</row>
    <row r="82" spans="1:19" ht="31.5" customHeight="1" x14ac:dyDescent="0.5">
      <c r="A82" s="54"/>
      <c r="B82" s="54"/>
      <c r="C82" s="54"/>
      <c r="D82" s="51"/>
      <c r="E82" s="30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</row>
    <row r="83" spans="1:19" ht="31.5" customHeight="1" x14ac:dyDescent="0.5">
      <c r="A83" s="54"/>
      <c r="B83" s="54" t="s">
        <v>26</v>
      </c>
      <c r="C83" s="54"/>
      <c r="D83" s="51"/>
      <c r="E83" s="30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</row>
    <row r="84" spans="1:19" ht="25.8" x14ac:dyDescent="0.5">
      <c r="A84" s="47"/>
      <c r="B84" s="48"/>
      <c r="C84" s="48"/>
      <c r="D84" s="48"/>
      <c r="E84" s="36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</row>
    <row r="85" spans="1:19" ht="25.8" x14ac:dyDescent="0.5">
      <c r="A85" s="47"/>
      <c r="B85" s="48"/>
      <c r="C85" s="48"/>
      <c r="D85" s="48"/>
      <c r="E85" s="36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</row>
    <row r="86" spans="1:19" ht="25.8" x14ac:dyDescent="0.5">
      <c r="A86" s="47"/>
      <c r="B86" s="48"/>
      <c r="C86" s="48"/>
      <c r="D86" s="48"/>
      <c r="E86" s="36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</row>
    <row r="87" spans="1:19" ht="25.8" x14ac:dyDescent="0.5">
      <c r="A87" s="47"/>
      <c r="B87" s="48"/>
      <c r="C87" s="48"/>
      <c r="D87" s="48"/>
      <c r="E87" s="36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</row>
    <row r="88" spans="1:19" s="44" customFormat="1" ht="28.8" x14ac:dyDescent="0.55000000000000004">
      <c r="A88" s="49" t="s">
        <v>25</v>
      </c>
      <c r="B88" s="50" t="s">
        <v>3</v>
      </c>
      <c r="C88" s="50" t="s">
        <v>195</v>
      </c>
      <c r="D88" s="50" t="s">
        <v>4</v>
      </c>
      <c r="E88" s="42" t="s">
        <v>196</v>
      </c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</row>
    <row r="89" spans="1:19" s="43" customFormat="1" ht="25.8" x14ac:dyDescent="0.5">
      <c r="A89" s="51">
        <v>1</v>
      </c>
      <c r="B89" s="52" t="s">
        <v>217</v>
      </c>
      <c r="C89" s="52" t="s">
        <v>218</v>
      </c>
      <c r="D89" s="52" t="s">
        <v>12</v>
      </c>
      <c r="E89" s="30" t="s">
        <v>222</v>
      </c>
    </row>
    <row r="90" spans="1:19" s="38" customFormat="1" ht="25.2" x14ac:dyDescent="0.45">
      <c r="A90" s="51">
        <v>2</v>
      </c>
      <c r="B90" s="51" t="s">
        <v>184</v>
      </c>
      <c r="C90" s="51" t="s">
        <v>185</v>
      </c>
      <c r="D90" s="52" t="s">
        <v>12</v>
      </c>
      <c r="E90" s="39" t="s">
        <v>186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</row>
    <row r="91" spans="1:19" s="43" customFormat="1" ht="25.8" x14ac:dyDescent="0.5">
      <c r="A91" s="51">
        <v>3</v>
      </c>
      <c r="B91" s="52" t="s">
        <v>250</v>
      </c>
      <c r="C91" s="52" t="s">
        <v>251</v>
      </c>
      <c r="D91" s="52" t="s">
        <v>12</v>
      </c>
      <c r="E91" s="30" t="s">
        <v>252</v>
      </c>
    </row>
    <row r="92" spans="1:19" s="43" customFormat="1" ht="25.8" x14ac:dyDescent="0.5">
      <c r="A92" s="51">
        <v>4</v>
      </c>
      <c r="B92" s="52" t="s">
        <v>261</v>
      </c>
      <c r="C92" s="52" t="s">
        <v>262</v>
      </c>
      <c r="D92" s="52" t="s">
        <v>12</v>
      </c>
      <c r="E92" s="30" t="s">
        <v>263</v>
      </c>
    </row>
    <row r="93" spans="1:19" s="43" customFormat="1" ht="25.8" x14ac:dyDescent="0.5">
      <c r="A93" s="51">
        <v>5</v>
      </c>
      <c r="B93" s="52" t="s">
        <v>279</v>
      </c>
      <c r="C93" s="52" t="s">
        <v>280</v>
      </c>
      <c r="D93" s="52" t="s">
        <v>12</v>
      </c>
      <c r="E93" s="30" t="s">
        <v>281</v>
      </c>
    </row>
    <row r="94" spans="1:19" s="43" customFormat="1" ht="25.8" x14ac:dyDescent="0.5">
      <c r="A94" s="51">
        <v>6</v>
      </c>
      <c r="B94" s="52" t="s">
        <v>301</v>
      </c>
      <c r="C94" s="52" t="s">
        <v>302</v>
      </c>
      <c r="D94" s="52" t="s">
        <v>12</v>
      </c>
      <c r="E94" s="30" t="s">
        <v>427</v>
      </c>
    </row>
    <row r="95" spans="1:19" s="43" customFormat="1" ht="25.8" x14ac:dyDescent="0.5">
      <c r="A95" s="51">
        <v>7</v>
      </c>
      <c r="B95" s="52" t="s">
        <v>303</v>
      </c>
      <c r="C95" s="52" t="s">
        <v>304</v>
      </c>
      <c r="D95" s="52" t="s">
        <v>12</v>
      </c>
      <c r="E95" s="30" t="s">
        <v>305</v>
      </c>
    </row>
    <row r="96" spans="1:19" s="43" customFormat="1" ht="25.8" x14ac:dyDescent="0.5">
      <c r="A96" s="51">
        <v>8</v>
      </c>
      <c r="B96" s="52" t="s">
        <v>306</v>
      </c>
      <c r="C96" s="52" t="s">
        <v>307</v>
      </c>
      <c r="D96" s="52" t="s">
        <v>12</v>
      </c>
      <c r="E96" s="30" t="s">
        <v>188</v>
      </c>
    </row>
    <row r="97" spans="1:5" s="43" customFormat="1" ht="25.8" x14ac:dyDescent="0.5">
      <c r="A97" s="51">
        <v>9</v>
      </c>
      <c r="B97" s="52" t="s">
        <v>308</v>
      </c>
      <c r="C97" s="52" t="s">
        <v>309</v>
      </c>
      <c r="D97" s="52" t="s">
        <v>12</v>
      </c>
      <c r="E97" s="30" t="s">
        <v>655</v>
      </c>
    </row>
    <row r="98" spans="1:5" s="43" customFormat="1" ht="25.8" x14ac:dyDescent="0.5">
      <c r="A98" s="51">
        <v>10</v>
      </c>
      <c r="B98" s="52" t="s">
        <v>310</v>
      </c>
      <c r="C98" s="52" t="s">
        <v>311</v>
      </c>
      <c r="D98" s="52" t="s">
        <v>12</v>
      </c>
      <c r="E98" s="30" t="s">
        <v>312</v>
      </c>
    </row>
    <row r="99" spans="1:5" s="43" customFormat="1" ht="25.8" x14ac:dyDescent="0.5">
      <c r="A99" s="51">
        <v>11</v>
      </c>
      <c r="B99" s="52" t="s">
        <v>313</v>
      </c>
      <c r="C99" s="52" t="s">
        <v>314</v>
      </c>
      <c r="D99" s="52" t="s">
        <v>12</v>
      </c>
      <c r="E99" s="30" t="s">
        <v>315</v>
      </c>
    </row>
    <row r="100" spans="1:5" s="43" customFormat="1" ht="25.8" x14ac:dyDescent="0.5">
      <c r="A100" s="51">
        <v>12</v>
      </c>
      <c r="B100" s="52" t="s">
        <v>316</v>
      </c>
      <c r="C100" s="52" t="s">
        <v>317</v>
      </c>
      <c r="D100" s="52" t="s">
        <v>12</v>
      </c>
      <c r="E100" s="30" t="s">
        <v>318</v>
      </c>
    </row>
    <row r="101" spans="1:5" s="43" customFormat="1" ht="25.8" x14ac:dyDescent="0.5">
      <c r="A101" s="51">
        <v>13</v>
      </c>
      <c r="B101" s="52" t="s">
        <v>319</v>
      </c>
      <c r="C101" s="52" t="s">
        <v>320</v>
      </c>
      <c r="D101" s="52" t="s">
        <v>12</v>
      </c>
      <c r="E101" s="30" t="s">
        <v>321</v>
      </c>
    </row>
    <row r="102" spans="1:5" s="43" customFormat="1" ht="25.8" x14ac:dyDescent="0.5">
      <c r="A102" s="51">
        <v>14</v>
      </c>
      <c r="B102" s="52" t="s">
        <v>322</v>
      </c>
      <c r="C102" s="52" t="s">
        <v>323</v>
      </c>
      <c r="D102" s="52" t="s">
        <v>12</v>
      </c>
      <c r="E102" s="30" t="s">
        <v>324</v>
      </c>
    </row>
    <row r="103" spans="1:5" s="43" customFormat="1" ht="25.8" x14ac:dyDescent="0.5">
      <c r="A103" s="51">
        <v>15</v>
      </c>
      <c r="B103" s="52" t="s">
        <v>325</v>
      </c>
      <c r="C103" s="52" t="s">
        <v>326</v>
      </c>
      <c r="D103" s="52" t="s">
        <v>12</v>
      </c>
      <c r="E103" s="30" t="s">
        <v>327</v>
      </c>
    </row>
    <row r="104" spans="1:5" s="43" customFormat="1" ht="25.8" x14ac:dyDescent="0.5">
      <c r="A104" s="51">
        <v>16</v>
      </c>
      <c r="B104" s="52" t="s">
        <v>328</v>
      </c>
      <c r="C104" s="52" t="s">
        <v>329</v>
      </c>
      <c r="D104" s="52" t="s">
        <v>12</v>
      </c>
      <c r="E104" s="30" t="s">
        <v>330</v>
      </c>
    </row>
    <row r="105" spans="1:5" s="43" customFormat="1" ht="25.8" x14ac:dyDescent="0.5">
      <c r="A105" s="51">
        <v>17</v>
      </c>
      <c r="B105" s="52" t="s">
        <v>331</v>
      </c>
      <c r="C105" s="52" t="s">
        <v>332</v>
      </c>
      <c r="D105" s="52" t="s">
        <v>12</v>
      </c>
      <c r="E105" s="30" t="s">
        <v>333</v>
      </c>
    </row>
    <row r="106" spans="1:5" s="43" customFormat="1" ht="25.8" x14ac:dyDescent="0.5">
      <c r="A106" s="51">
        <v>18</v>
      </c>
      <c r="B106" s="52" t="s">
        <v>334</v>
      </c>
      <c r="C106" s="52" t="s">
        <v>335</v>
      </c>
      <c r="D106" s="52" t="s">
        <v>12</v>
      </c>
      <c r="E106" s="30" t="s">
        <v>336</v>
      </c>
    </row>
    <row r="107" spans="1:5" s="43" customFormat="1" ht="25.8" x14ac:dyDescent="0.5">
      <c r="A107" s="51">
        <v>19</v>
      </c>
      <c r="B107" s="52" t="s">
        <v>337</v>
      </c>
      <c r="C107" s="52" t="s">
        <v>338</v>
      </c>
      <c r="D107" s="52" t="s">
        <v>12</v>
      </c>
      <c r="E107" s="30" t="s">
        <v>339</v>
      </c>
    </row>
    <row r="108" spans="1:5" s="43" customFormat="1" ht="25.8" x14ac:dyDescent="0.5">
      <c r="A108" s="51">
        <v>20</v>
      </c>
      <c r="B108" s="52" t="s">
        <v>340</v>
      </c>
      <c r="C108" s="52" t="s">
        <v>341</v>
      </c>
      <c r="D108" s="52" t="s">
        <v>12</v>
      </c>
      <c r="E108" s="30" t="s">
        <v>342</v>
      </c>
    </row>
    <row r="109" spans="1:5" s="43" customFormat="1" ht="25.8" x14ac:dyDescent="0.5">
      <c r="A109" s="51">
        <v>21</v>
      </c>
      <c r="B109" s="52" t="s">
        <v>343</v>
      </c>
      <c r="C109" s="52" t="s">
        <v>344</v>
      </c>
      <c r="D109" s="52" t="s">
        <v>12</v>
      </c>
      <c r="E109" s="30" t="s">
        <v>345</v>
      </c>
    </row>
    <row r="110" spans="1:5" s="43" customFormat="1" ht="25.8" x14ac:dyDescent="0.5">
      <c r="A110" s="51">
        <v>22</v>
      </c>
      <c r="B110" s="52" t="s">
        <v>376</v>
      </c>
      <c r="C110" s="52" t="s">
        <v>377</v>
      </c>
      <c r="D110" s="52" t="s">
        <v>12</v>
      </c>
      <c r="E110" s="30" t="s">
        <v>378</v>
      </c>
    </row>
    <row r="111" spans="1:5" s="43" customFormat="1" ht="25.8" x14ac:dyDescent="0.5">
      <c r="A111" s="51">
        <v>23</v>
      </c>
      <c r="B111" s="52" t="s">
        <v>382</v>
      </c>
      <c r="C111" s="52" t="s">
        <v>393</v>
      </c>
      <c r="D111" s="52" t="s">
        <v>12</v>
      </c>
      <c r="E111" s="30" t="s">
        <v>394</v>
      </c>
    </row>
    <row r="112" spans="1:5" s="43" customFormat="1" ht="25.8" x14ac:dyDescent="0.5">
      <c r="A112" s="51">
        <v>24</v>
      </c>
      <c r="B112" s="52" t="s">
        <v>383</v>
      </c>
      <c r="C112" s="52" t="s">
        <v>395</v>
      </c>
      <c r="D112" s="52" t="s">
        <v>12</v>
      </c>
      <c r="E112" s="30" t="s">
        <v>404</v>
      </c>
    </row>
    <row r="113" spans="1:19" s="43" customFormat="1" ht="25.8" x14ac:dyDescent="0.5">
      <c r="A113" s="51">
        <v>25</v>
      </c>
      <c r="B113" s="52" t="s">
        <v>384</v>
      </c>
      <c r="C113" s="52" t="s">
        <v>396</v>
      </c>
      <c r="D113" s="52" t="s">
        <v>12</v>
      </c>
      <c r="E113" s="30" t="s">
        <v>397</v>
      </c>
    </row>
    <row r="114" spans="1:19" s="43" customFormat="1" ht="25.8" x14ac:dyDescent="0.5">
      <c r="A114" s="51">
        <v>26</v>
      </c>
      <c r="B114" s="52" t="s">
        <v>386</v>
      </c>
      <c r="C114" s="52" t="s">
        <v>398</v>
      </c>
      <c r="D114" s="52" t="s">
        <v>12</v>
      </c>
      <c r="E114" s="30" t="s">
        <v>399</v>
      </c>
    </row>
    <row r="115" spans="1:19" s="43" customFormat="1" ht="25.8" x14ac:dyDescent="0.5">
      <c r="A115" s="51">
        <v>27</v>
      </c>
      <c r="B115" s="52" t="s">
        <v>387</v>
      </c>
      <c r="C115" s="52" t="s">
        <v>400</v>
      </c>
      <c r="D115" s="52" t="s">
        <v>12</v>
      </c>
      <c r="E115" s="30" t="s">
        <v>142</v>
      </c>
    </row>
    <row r="116" spans="1:19" s="43" customFormat="1" ht="25.8" x14ac:dyDescent="0.5">
      <c r="A116" s="51">
        <v>28</v>
      </c>
      <c r="B116" s="52" t="s">
        <v>401</v>
      </c>
      <c r="C116" s="52" t="s">
        <v>402</v>
      </c>
      <c r="D116" s="52" t="s">
        <v>12</v>
      </c>
      <c r="E116" s="30" t="s">
        <v>403</v>
      </c>
    </row>
    <row r="117" spans="1:19" s="43" customFormat="1" ht="25.8" x14ac:dyDescent="0.5">
      <c r="A117" s="51">
        <v>29</v>
      </c>
      <c r="B117" s="52" t="s">
        <v>477</v>
      </c>
      <c r="C117" s="52" t="s">
        <v>430</v>
      </c>
      <c r="D117" s="52" t="s">
        <v>12</v>
      </c>
      <c r="E117" s="30" t="s">
        <v>405</v>
      </c>
    </row>
    <row r="118" spans="1:19" s="43" customFormat="1" ht="25.8" x14ac:dyDescent="0.5">
      <c r="A118" s="51">
        <v>30</v>
      </c>
      <c r="B118" s="52" t="s">
        <v>408</v>
      </c>
      <c r="C118" s="52" t="s">
        <v>425</v>
      </c>
      <c r="D118" s="52" t="s">
        <v>12</v>
      </c>
      <c r="E118" s="30" t="s">
        <v>426</v>
      </c>
    </row>
    <row r="119" spans="1:19" s="43" customFormat="1" ht="25.8" x14ac:dyDescent="0.5">
      <c r="A119" s="51">
        <v>31</v>
      </c>
      <c r="B119" s="52" t="s">
        <v>409</v>
      </c>
      <c r="C119" s="52" t="s">
        <v>410</v>
      </c>
      <c r="D119" s="52" t="s">
        <v>12</v>
      </c>
      <c r="E119" s="30" t="s">
        <v>420</v>
      </c>
    </row>
    <row r="120" spans="1:19" s="43" customFormat="1" ht="25.8" x14ac:dyDescent="0.5">
      <c r="A120" s="51">
        <v>32</v>
      </c>
      <c r="B120" s="52" t="s">
        <v>411</v>
      </c>
      <c r="C120" s="52" t="s">
        <v>412</v>
      </c>
      <c r="D120" s="52" t="s">
        <v>12</v>
      </c>
      <c r="E120" s="30" t="s">
        <v>419</v>
      </c>
    </row>
    <row r="121" spans="1:19" s="43" customFormat="1" ht="25.8" x14ac:dyDescent="0.5">
      <c r="A121" s="51">
        <v>33</v>
      </c>
      <c r="B121" s="52" t="s">
        <v>416</v>
      </c>
      <c r="C121" s="52" t="s">
        <v>417</v>
      </c>
      <c r="D121" s="52" t="s">
        <v>12</v>
      </c>
      <c r="E121" s="30" t="s">
        <v>418</v>
      </c>
    </row>
    <row r="122" spans="1:19" s="43" customFormat="1" ht="25.8" x14ac:dyDescent="0.5">
      <c r="A122" s="51">
        <v>34</v>
      </c>
      <c r="B122" s="52" t="s">
        <v>282</v>
      </c>
      <c r="C122" s="52" t="s">
        <v>283</v>
      </c>
      <c r="D122" s="52" t="s">
        <v>12</v>
      </c>
      <c r="E122" s="30" t="s">
        <v>284</v>
      </c>
    </row>
    <row r="123" spans="1:19" s="38" customFormat="1" ht="25.2" x14ac:dyDescent="0.45">
      <c r="A123" s="51">
        <v>35</v>
      </c>
      <c r="B123" s="51" t="s">
        <v>431</v>
      </c>
      <c r="C123" s="51" t="s">
        <v>468</v>
      </c>
      <c r="D123" s="52" t="s">
        <v>12</v>
      </c>
      <c r="E123" s="39" t="s">
        <v>432</v>
      </c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</row>
    <row r="124" spans="1:19" s="38" customFormat="1" ht="25.2" x14ac:dyDescent="0.45">
      <c r="A124" s="51">
        <v>36</v>
      </c>
      <c r="B124" s="51" t="s">
        <v>435</v>
      </c>
      <c r="C124" s="51" t="s">
        <v>462</v>
      </c>
      <c r="D124" s="52" t="s">
        <v>12</v>
      </c>
      <c r="E124" s="39" t="s">
        <v>433</v>
      </c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</row>
    <row r="125" spans="1:19" s="38" customFormat="1" ht="25.2" x14ac:dyDescent="0.45">
      <c r="A125" s="51">
        <v>37</v>
      </c>
      <c r="B125" s="51" t="s">
        <v>434</v>
      </c>
      <c r="C125" s="51" t="s">
        <v>469</v>
      </c>
      <c r="D125" s="52" t="s">
        <v>12</v>
      </c>
      <c r="E125" s="39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</row>
    <row r="126" spans="1:19" s="38" customFormat="1" ht="25.2" x14ac:dyDescent="0.45">
      <c r="A126" s="51">
        <v>38</v>
      </c>
      <c r="B126" s="51" t="s">
        <v>438</v>
      </c>
      <c r="C126" s="51" t="s">
        <v>470</v>
      </c>
      <c r="D126" s="52" t="s">
        <v>12</v>
      </c>
      <c r="E126" s="39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</row>
    <row r="127" spans="1:19" s="38" customFormat="1" ht="25.2" x14ac:dyDescent="0.45">
      <c r="A127" s="51">
        <v>39</v>
      </c>
      <c r="B127" s="51" t="s">
        <v>437</v>
      </c>
      <c r="C127" s="51" t="s">
        <v>471</v>
      </c>
      <c r="D127" s="52" t="s">
        <v>12</v>
      </c>
      <c r="E127" s="39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</row>
    <row r="128" spans="1:19" s="38" customFormat="1" ht="25.2" x14ac:dyDescent="0.45">
      <c r="A128" s="51">
        <v>40</v>
      </c>
      <c r="B128" s="51" t="s">
        <v>491</v>
      </c>
      <c r="C128" s="51" t="s">
        <v>472</v>
      </c>
      <c r="D128" s="52" t="s">
        <v>12</v>
      </c>
      <c r="E128" s="39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</row>
    <row r="129" spans="1:19" s="38" customFormat="1" ht="25.8" x14ac:dyDescent="0.5">
      <c r="A129" s="51">
        <v>41</v>
      </c>
      <c r="B129" s="51" t="s">
        <v>439</v>
      </c>
      <c r="C129" s="51" t="s">
        <v>463</v>
      </c>
      <c r="D129" s="52" t="s">
        <v>12</v>
      </c>
      <c r="E129" s="30" t="s">
        <v>278</v>
      </c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</row>
    <row r="130" spans="1:19" s="38" customFormat="1" ht="25.2" x14ac:dyDescent="0.45">
      <c r="A130" s="51">
        <v>42</v>
      </c>
      <c r="B130" s="51" t="s">
        <v>440</v>
      </c>
      <c r="C130" s="51" t="s">
        <v>464</v>
      </c>
      <c r="D130" s="52" t="s">
        <v>12</v>
      </c>
      <c r="E130" s="39" t="s">
        <v>490</v>
      </c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</row>
    <row r="131" spans="1:19" s="38" customFormat="1" ht="25.2" x14ac:dyDescent="0.45">
      <c r="A131" s="51">
        <v>43</v>
      </c>
      <c r="B131" s="51" t="s">
        <v>444</v>
      </c>
      <c r="C131" s="51" t="s">
        <v>445</v>
      </c>
      <c r="D131" s="52" t="s">
        <v>12</v>
      </c>
      <c r="E131" s="39" t="s">
        <v>446</v>
      </c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</row>
    <row r="132" spans="1:19" s="38" customFormat="1" ht="25.2" x14ac:dyDescent="0.45">
      <c r="A132" s="51">
        <v>44</v>
      </c>
      <c r="B132" s="51" t="s">
        <v>453</v>
      </c>
      <c r="C132" s="51" t="s">
        <v>454</v>
      </c>
      <c r="D132" s="52" t="s">
        <v>12</v>
      </c>
      <c r="E132" s="39" t="s">
        <v>489</v>
      </c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</row>
    <row r="133" spans="1:19" s="38" customFormat="1" ht="25.2" x14ac:dyDescent="0.45">
      <c r="A133" s="51">
        <v>45</v>
      </c>
      <c r="B133" s="51" t="s">
        <v>473</v>
      </c>
      <c r="C133" s="51" t="s">
        <v>480</v>
      </c>
      <c r="D133" s="52" t="s">
        <v>12</v>
      </c>
      <c r="E133" s="39" t="s">
        <v>475</v>
      </c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</row>
    <row r="134" spans="1:19" s="38" customFormat="1" ht="25.2" x14ac:dyDescent="0.45">
      <c r="A134" s="51">
        <v>46</v>
      </c>
      <c r="B134" s="51" t="s">
        <v>474</v>
      </c>
      <c r="C134" s="51" t="s">
        <v>481</v>
      </c>
      <c r="D134" s="52" t="s">
        <v>12</v>
      </c>
      <c r="E134" s="39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</row>
    <row r="135" spans="1:19" s="38" customFormat="1" ht="25.2" x14ac:dyDescent="0.45">
      <c r="A135" s="51">
        <v>47</v>
      </c>
      <c r="B135" s="51" t="s">
        <v>486</v>
      </c>
      <c r="C135" s="51" t="s">
        <v>488</v>
      </c>
      <c r="D135" s="52" t="s">
        <v>12</v>
      </c>
      <c r="E135" s="39" t="s">
        <v>487</v>
      </c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</row>
    <row r="136" spans="1:19" s="38" customFormat="1" ht="25.2" x14ac:dyDescent="0.45">
      <c r="A136" s="51">
        <v>48</v>
      </c>
      <c r="B136" s="51" t="s">
        <v>460</v>
      </c>
      <c r="C136" s="51" t="s">
        <v>500</v>
      </c>
      <c r="D136" s="52" t="s">
        <v>12</v>
      </c>
      <c r="E136" s="39" t="s">
        <v>461</v>
      </c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</row>
    <row r="137" spans="1:19" s="38" customFormat="1" ht="25.2" x14ac:dyDescent="0.45">
      <c r="A137" s="51">
        <v>49</v>
      </c>
      <c r="B137" s="51" t="s">
        <v>479</v>
      </c>
      <c r="C137" s="51" t="s">
        <v>482</v>
      </c>
      <c r="D137" s="52" t="s">
        <v>12</v>
      </c>
      <c r="E137" s="39" t="s">
        <v>478</v>
      </c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</row>
    <row r="138" spans="1:19" s="38" customFormat="1" ht="25.2" x14ac:dyDescent="0.45">
      <c r="A138" s="51">
        <v>50</v>
      </c>
      <c r="B138" s="51" t="s">
        <v>703</v>
      </c>
      <c r="C138" s="51" t="s">
        <v>504</v>
      </c>
      <c r="D138" s="52" t="s">
        <v>12</v>
      </c>
      <c r="E138" s="39" t="s">
        <v>505</v>
      </c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</row>
    <row r="139" spans="1:19" s="38" customFormat="1" ht="25.2" x14ac:dyDescent="0.45">
      <c r="A139" s="51">
        <v>51</v>
      </c>
      <c r="B139" s="51" t="s">
        <v>606</v>
      </c>
      <c r="C139" s="51" t="s">
        <v>607</v>
      </c>
      <c r="D139" s="52" t="s">
        <v>12</v>
      </c>
      <c r="E139" s="39" t="s">
        <v>608</v>
      </c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</row>
    <row r="140" spans="1:19" s="38" customFormat="1" ht="25.2" x14ac:dyDescent="0.45">
      <c r="A140" s="51">
        <v>52</v>
      </c>
      <c r="B140" s="51" t="s">
        <v>612</v>
      </c>
      <c r="C140" s="51" t="s">
        <v>613</v>
      </c>
      <c r="D140" s="52" t="s">
        <v>12</v>
      </c>
      <c r="E140" s="39" t="s">
        <v>614</v>
      </c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</row>
    <row r="141" spans="1:19" ht="31.5" customHeight="1" x14ac:dyDescent="0.5">
      <c r="A141" s="51">
        <v>53</v>
      </c>
      <c r="B141" s="54" t="s">
        <v>588</v>
      </c>
      <c r="C141" s="53" t="s">
        <v>589</v>
      </c>
      <c r="D141" s="51" t="s">
        <v>12</v>
      </c>
      <c r="E141" s="31" t="s">
        <v>590</v>
      </c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</row>
    <row r="142" spans="1:19" s="38" customFormat="1" ht="25.2" x14ac:dyDescent="0.45">
      <c r="A142" s="51">
        <v>54</v>
      </c>
      <c r="B142" s="51" t="s">
        <v>662</v>
      </c>
      <c r="C142" s="51" t="s">
        <v>663</v>
      </c>
      <c r="D142" s="52" t="s">
        <v>12</v>
      </c>
      <c r="E142" s="39" t="s">
        <v>664</v>
      </c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</row>
    <row r="143" spans="1:19" s="38" customFormat="1" ht="25.2" x14ac:dyDescent="0.45">
      <c r="A143" s="51">
        <v>55</v>
      </c>
      <c r="B143" s="51" t="s">
        <v>665</v>
      </c>
      <c r="C143" s="51" t="s">
        <v>666</v>
      </c>
      <c r="D143" s="52" t="s">
        <v>12</v>
      </c>
      <c r="E143" s="39" t="s">
        <v>667</v>
      </c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</row>
    <row r="144" spans="1:19" ht="31.5" customHeight="1" x14ac:dyDescent="0.5">
      <c r="A144" s="51">
        <v>56</v>
      </c>
      <c r="B144" s="54" t="s">
        <v>631</v>
      </c>
      <c r="C144" s="53" t="s">
        <v>632</v>
      </c>
      <c r="D144" s="51" t="s">
        <v>12</v>
      </c>
      <c r="E144" s="31" t="s">
        <v>633</v>
      </c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</row>
    <row r="145" spans="1:19" s="38" customFormat="1" ht="25.2" x14ac:dyDescent="0.45">
      <c r="A145" s="51">
        <v>57</v>
      </c>
      <c r="B145" s="51" t="s">
        <v>678</v>
      </c>
      <c r="C145" s="51" t="s">
        <v>679</v>
      </c>
      <c r="D145" s="52" t="s">
        <v>12</v>
      </c>
      <c r="E145" s="39" t="s">
        <v>680</v>
      </c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</row>
    <row r="146" spans="1:19" s="38" customFormat="1" ht="25.2" x14ac:dyDescent="0.45">
      <c r="A146" s="51">
        <v>58</v>
      </c>
      <c r="B146" s="51" t="s">
        <v>693</v>
      </c>
      <c r="C146" s="51" t="s">
        <v>694</v>
      </c>
      <c r="D146" s="52" t="s">
        <v>12</v>
      </c>
      <c r="E146" s="39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</row>
    <row r="147" spans="1:19" s="38" customFormat="1" ht="25.2" x14ac:dyDescent="0.45">
      <c r="A147" s="51"/>
      <c r="B147" s="51"/>
      <c r="C147" s="51"/>
      <c r="D147" s="52"/>
      <c r="E147" s="39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</row>
    <row r="148" spans="1:19" s="38" customFormat="1" ht="25.2" x14ac:dyDescent="0.45">
      <c r="A148" s="51"/>
      <c r="B148" s="51"/>
      <c r="C148" s="51"/>
      <c r="D148" s="52"/>
      <c r="E148" s="39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</row>
    <row r="149" spans="1:19" s="38" customFormat="1" ht="25.2" x14ac:dyDescent="0.45">
      <c r="A149" s="51"/>
      <c r="B149" s="51"/>
      <c r="C149" s="51"/>
      <c r="D149" s="52"/>
      <c r="E149" s="39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</row>
    <row r="150" spans="1:19" s="38" customFormat="1" ht="25.2" x14ac:dyDescent="0.45">
      <c r="A150" s="51"/>
      <c r="B150" s="51"/>
      <c r="C150" s="51"/>
      <c r="D150" s="52"/>
      <c r="E150" s="39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</row>
    <row r="151" spans="1:19" s="43" customFormat="1" ht="25.8" x14ac:dyDescent="0.5">
      <c r="A151" s="51"/>
      <c r="B151" s="50" t="s">
        <v>26</v>
      </c>
      <c r="C151" s="52"/>
      <c r="D151" s="52"/>
      <c r="E151" s="30"/>
    </row>
    <row r="152" spans="1:19" s="38" customFormat="1" ht="25.2" x14ac:dyDescent="0.45">
      <c r="A152" s="49"/>
      <c r="B152" s="51"/>
      <c r="C152" s="51"/>
      <c r="D152" s="52"/>
      <c r="E152" s="39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</row>
    <row r="153" spans="1:19" ht="25.8" x14ac:dyDescent="0.5">
      <c r="A153" s="47"/>
      <c r="B153" s="48"/>
      <c r="C153" s="48"/>
      <c r="D153" s="48"/>
      <c r="E153" s="36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</row>
    <row r="154" spans="1:19" ht="25.8" x14ac:dyDescent="0.5">
      <c r="A154" s="47"/>
      <c r="B154" s="48"/>
      <c r="C154" s="48"/>
      <c r="D154" s="48"/>
      <c r="E154" s="36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</row>
    <row r="155" spans="1:19" ht="25.8" x14ac:dyDescent="0.5">
      <c r="A155" s="47"/>
      <c r="B155" s="48"/>
      <c r="C155" s="48"/>
      <c r="D155" s="48"/>
      <c r="E155" s="36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</row>
    <row r="156" spans="1:19" ht="24.6" x14ac:dyDescent="0.4">
      <c r="A156" s="49" t="s">
        <v>2</v>
      </c>
      <c r="B156" s="49" t="s">
        <v>3</v>
      </c>
      <c r="C156" s="49" t="s">
        <v>55</v>
      </c>
      <c r="D156" s="49" t="s">
        <v>4</v>
      </c>
      <c r="E156" s="29" t="s">
        <v>24</v>
      </c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</row>
    <row r="157" spans="1:19" ht="25.8" x14ac:dyDescent="0.5">
      <c r="A157" s="49">
        <v>1</v>
      </c>
      <c r="B157" s="52" t="s">
        <v>116</v>
      </c>
      <c r="C157" s="53" t="s">
        <v>113</v>
      </c>
      <c r="D157" s="52" t="s">
        <v>13</v>
      </c>
      <c r="E157" s="30" t="s">
        <v>114</v>
      </c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</row>
    <row r="158" spans="1:19" s="38" customFormat="1" ht="25.2" x14ac:dyDescent="0.45">
      <c r="A158" s="49">
        <v>2</v>
      </c>
      <c r="B158" s="51" t="s">
        <v>130</v>
      </c>
      <c r="C158" s="51" t="s">
        <v>131</v>
      </c>
      <c r="D158" s="52" t="s">
        <v>13</v>
      </c>
      <c r="E158" s="39" t="s">
        <v>167</v>
      </c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</row>
    <row r="159" spans="1:19" s="38" customFormat="1" ht="25.2" x14ac:dyDescent="0.45">
      <c r="A159" s="49">
        <v>3</v>
      </c>
      <c r="B159" s="51" t="s">
        <v>157</v>
      </c>
      <c r="C159" s="51" t="s">
        <v>161</v>
      </c>
      <c r="D159" s="52" t="s">
        <v>13</v>
      </c>
      <c r="E159" s="39" t="s">
        <v>194</v>
      </c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</row>
    <row r="160" spans="1:19" s="38" customFormat="1" ht="25.2" x14ac:dyDescent="0.45">
      <c r="A160" s="49">
        <v>4</v>
      </c>
      <c r="B160" s="51" t="s">
        <v>197</v>
      </c>
      <c r="C160" s="51" t="s">
        <v>198</v>
      </c>
      <c r="D160" s="52" t="s">
        <v>13</v>
      </c>
      <c r="E160" s="39" t="s">
        <v>199</v>
      </c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</row>
    <row r="161" spans="1:19" s="38" customFormat="1" ht="25.2" x14ac:dyDescent="0.45">
      <c r="A161" s="49">
        <v>5</v>
      </c>
      <c r="B161" s="51" t="s">
        <v>200</v>
      </c>
      <c r="C161" s="51" t="s">
        <v>201</v>
      </c>
      <c r="D161" s="52" t="s">
        <v>13</v>
      </c>
      <c r="E161" s="39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</row>
    <row r="162" spans="1:19" s="38" customFormat="1" ht="25.2" x14ac:dyDescent="0.45">
      <c r="A162" s="49">
        <v>6</v>
      </c>
      <c r="B162" s="51" t="s">
        <v>202</v>
      </c>
      <c r="C162" s="51" t="s">
        <v>203</v>
      </c>
      <c r="D162" s="52" t="s">
        <v>13</v>
      </c>
      <c r="E162" s="39" t="s">
        <v>204</v>
      </c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</row>
    <row r="163" spans="1:19" s="38" customFormat="1" ht="25.2" x14ac:dyDescent="0.45">
      <c r="A163" s="49">
        <v>7</v>
      </c>
      <c r="B163" s="51" t="s">
        <v>205</v>
      </c>
      <c r="C163" s="51" t="s">
        <v>206</v>
      </c>
      <c r="D163" s="52" t="s">
        <v>13</v>
      </c>
      <c r="E163" s="39" t="s">
        <v>207</v>
      </c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</row>
    <row r="164" spans="1:19" s="38" customFormat="1" ht="25.2" x14ac:dyDescent="0.45">
      <c r="A164" s="49">
        <v>8</v>
      </c>
      <c r="B164" s="51" t="s">
        <v>208</v>
      </c>
      <c r="C164" s="51" t="s">
        <v>209</v>
      </c>
      <c r="D164" s="52" t="s">
        <v>13</v>
      </c>
      <c r="E164" s="39" t="s">
        <v>210</v>
      </c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</row>
    <row r="165" spans="1:19" s="38" customFormat="1" ht="25.2" x14ac:dyDescent="0.45">
      <c r="A165" s="49">
        <v>9</v>
      </c>
      <c r="B165" s="51" t="s">
        <v>211</v>
      </c>
      <c r="C165" s="51" t="s">
        <v>212</v>
      </c>
      <c r="D165" s="52" t="s">
        <v>13</v>
      </c>
      <c r="E165" s="39" t="s">
        <v>213</v>
      </c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</row>
    <row r="166" spans="1:19" s="38" customFormat="1" ht="25.2" x14ac:dyDescent="0.45">
      <c r="A166" s="49">
        <v>10</v>
      </c>
      <c r="B166" s="51" t="s">
        <v>214</v>
      </c>
      <c r="C166" s="51" t="s">
        <v>215</v>
      </c>
      <c r="D166" s="52" t="s">
        <v>13</v>
      </c>
      <c r="E166" s="39" t="s">
        <v>216</v>
      </c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</row>
    <row r="167" spans="1:19" s="38" customFormat="1" ht="25.2" x14ac:dyDescent="0.45">
      <c r="A167" s="49">
        <v>11</v>
      </c>
      <c r="B167" s="51" t="s">
        <v>219</v>
      </c>
      <c r="C167" s="51" t="s">
        <v>220</v>
      </c>
      <c r="D167" s="52" t="s">
        <v>13</v>
      </c>
      <c r="E167" s="39" t="s">
        <v>221</v>
      </c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</row>
    <row r="168" spans="1:19" s="38" customFormat="1" ht="25.2" x14ac:dyDescent="0.45">
      <c r="A168" s="49">
        <v>12</v>
      </c>
      <c r="B168" s="51" t="s">
        <v>702</v>
      </c>
      <c r="C168" s="51" t="s">
        <v>224</v>
      </c>
      <c r="D168" s="52" t="s">
        <v>13</v>
      </c>
      <c r="E168" s="39" t="s">
        <v>225</v>
      </c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</row>
    <row r="169" spans="1:19" s="38" customFormat="1" ht="25.2" x14ac:dyDescent="0.45">
      <c r="A169" s="49">
        <v>13</v>
      </c>
      <c r="B169" s="51" t="s">
        <v>227</v>
      </c>
      <c r="C169" s="51" t="s">
        <v>228</v>
      </c>
      <c r="D169" s="52" t="s">
        <v>13</v>
      </c>
      <c r="E169" s="39" t="s">
        <v>229</v>
      </c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</row>
    <row r="170" spans="1:19" s="38" customFormat="1" ht="25.2" x14ac:dyDescent="0.45">
      <c r="A170" s="49">
        <v>14</v>
      </c>
      <c r="B170" s="51" t="s">
        <v>231</v>
      </c>
      <c r="C170" s="51" t="s">
        <v>232</v>
      </c>
      <c r="D170" s="52" t="s">
        <v>13</v>
      </c>
      <c r="E170" s="39" t="s">
        <v>233</v>
      </c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</row>
    <row r="171" spans="1:19" s="38" customFormat="1" ht="25.2" x14ac:dyDescent="0.45">
      <c r="A171" s="49">
        <v>15</v>
      </c>
      <c r="B171" s="51" t="s">
        <v>234</v>
      </c>
      <c r="C171" s="51" t="s">
        <v>235</v>
      </c>
      <c r="D171" s="52" t="s">
        <v>13</v>
      </c>
      <c r="E171" s="39" t="s">
        <v>681</v>
      </c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</row>
    <row r="172" spans="1:19" s="38" customFormat="1" ht="25.2" x14ac:dyDescent="0.45">
      <c r="A172" s="49">
        <v>16</v>
      </c>
      <c r="B172" s="51" t="s">
        <v>241</v>
      </c>
      <c r="C172" s="51" t="s">
        <v>242</v>
      </c>
      <c r="D172" s="52" t="s">
        <v>13</v>
      </c>
      <c r="E172" s="39" t="s">
        <v>243</v>
      </c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</row>
    <row r="173" spans="1:19" s="38" customFormat="1" ht="25.2" x14ac:dyDescent="0.45">
      <c r="A173" s="49">
        <v>17</v>
      </c>
      <c r="B173" s="51" t="s">
        <v>244</v>
      </c>
      <c r="C173" s="51" t="s">
        <v>245</v>
      </c>
      <c r="D173" s="52" t="s">
        <v>13</v>
      </c>
      <c r="E173" s="39" t="s">
        <v>246</v>
      </c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</row>
    <row r="174" spans="1:19" s="38" customFormat="1" ht="25.2" x14ac:dyDescent="0.45">
      <c r="A174" s="49">
        <v>18</v>
      </c>
      <c r="B174" s="51" t="s">
        <v>254</v>
      </c>
      <c r="C174" s="51" t="s">
        <v>255</v>
      </c>
      <c r="D174" s="52" t="s">
        <v>13</v>
      </c>
      <c r="E174" s="39" t="s">
        <v>256</v>
      </c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</row>
    <row r="175" spans="1:19" s="38" customFormat="1" ht="25.2" x14ac:dyDescent="0.45">
      <c r="A175" s="49">
        <v>19</v>
      </c>
      <c r="B175" s="51" t="s">
        <v>257</v>
      </c>
      <c r="C175" s="51" t="s">
        <v>258</v>
      </c>
      <c r="D175" s="52" t="s">
        <v>13</v>
      </c>
      <c r="E175" s="39" t="s">
        <v>259</v>
      </c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</row>
    <row r="176" spans="1:19" s="38" customFormat="1" ht="25.2" x14ac:dyDescent="0.45">
      <c r="A176" s="49">
        <v>20</v>
      </c>
      <c r="B176" s="51" t="s">
        <v>168</v>
      </c>
      <c r="C176" s="51" t="s">
        <v>169</v>
      </c>
      <c r="D176" s="52" t="s">
        <v>13</v>
      </c>
      <c r="E176" s="39" t="s">
        <v>226</v>
      </c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</row>
    <row r="177" spans="1:19" s="38" customFormat="1" ht="25.2" x14ac:dyDescent="0.45">
      <c r="A177" s="49">
        <v>21</v>
      </c>
      <c r="B177" s="51" t="s">
        <v>348</v>
      </c>
      <c r="C177" s="51" t="s">
        <v>349</v>
      </c>
      <c r="D177" s="52" t="s">
        <v>13</v>
      </c>
      <c r="E177" s="39" t="s">
        <v>350</v>
      </c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</row>
    <row r="178" spans="1:19" s="38" customFormat="1" ht="25.2" x14ac:dyDescent="0.45">
      <c r="A178" s="49">
        <v>22</v>
      </c>
      <c r="B178" s="51" t="s">
        <v>268</v>
      </c>
      <c r="C178" s="51" t="s">
        <v>269</v>
      </c>
      <c r="D178" s="52" t="s">
        <v>13</v>
      </c>
      <c r="E178" s="39" t="s">
        <v>270</v>
      </c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</row>
    <row r="179" spans="1:19" s="38" customFormat="1" ht="25.2" x14ac:dyDescent="0.45">
      <c r="A179" s="49">
        <v>23</v>
      </c>
      <c r="B179" s="51" t="s">
        <v>274</v>
      </c>
      <c r="C179" s="51" t="s">
        <v>275</v>
      </c>
      <c r="D179" s="52" t="s">
        <v>13</v>
      </c>
      <c r="E179" s="39"/>
      <c r="F179" s="43" t="s">
        <v>429</v>
      </c>
      <c r="G179" s="43" t="s">
        <v>685</v>
      </c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</row>
    <row r="180" spans="1:19" s="38" customFormat="1" ht="25.2" x14ac:dyDescent="0.45">
      <c r="A180" s="49">
        <v>24</v>
      </c>
      <c r="B180" s="51" t="s">
        <v>285</v>
      </c>
      <c r="C180" s="51" t="s">
        <v>286</v>
      </c>
      <c r="D180" s="52" t="s">
        <v>13</v>
      </c>
      <c r="E180" s="39" t="s">
        <v>287</v>
      </c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</row>
    <row r="181" spans="1:19" s="38" customFormat="1" ht="25.2" x14ac:dyDescent="0.45">
      <c r="A181" s="49">
        <v>25</v>
      </c>
      <c r="B181" s="51" t="s">
        <v>298</v>
      </c>
      <c r="C181" s="51" t="s">
        <v>299</v>
      </c>
      <c r="D181" s="52" t="s">
        <v>13</v>
      </c>
      <c r="E181" s="39" t="s">
        <v>300</v>
      </c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</row>
    <row r="182" spans="1:19" s="38" customFormat="1" ht="25.2" x14ac:dyDescent="0.45">
      <c r="A182" s="49">
        <v>26</v>
      </c>
      <c r="B182" s="51" t="s">
        <v>366</v>
      </c>
      <c r="C182" s="51" t="s">
        <v>367</v>
      </c>
      <c r="D182" s="52" t="s">
        <v>13</v>
      </c>
      <c r="E182" s="39" t="s">
        <v>368</v>
      </c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</row>
    <row r="183" spans="1:19" s="38" customFormat="1" ht="25.2" x14ac:dyDescent="0.45">
      <c r="A183" s="49">
        <v>27</v>
      </c>
      <c r="B183" s="51" t="s">
        <v>369</v>
      </c>
      <c r="C183" s="51" t="s">
        <v>370</v>
      </c>
      <c r="D183" s="52" t="s">
        <v>13</v>
      </c>
      <c r="E183" s="39" t="s">
        <v>371</v>
      </c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</row>
    <row r="184" spans="1:19" s="38" customFormat="1" ht="25.2" x14ac:dyDescent="0.45">
      <c r="A184" s="49">
        <v>28</v>
      </c>
      <c r="B184" s="51" t="s">
        <v>476</v>
      </c>
      <c r="C184" s="51" t="s">
        <v>436</v>
      </c>
      <c r="D184" s="52" t="s">
        <v>13</v>
      </c>
      <c r="E184" s="39" t="s">
        <v>391</v>
      </c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</row>
    <row r="185" spans="1:19" s="38" customFormat="1" ht="25.2" x14ac:dyDescent="0.45">
      <c r="A185" s="49">
        <v>29</v>
      </c>
      <c r="B185" s="51" t="s">
        <v>385</v>
      </c>
      <c r="C185" s="51"/>
      <c r="D185" s="52" t="s">
        <v>13</v>
      </c>
      <c r="E185" s="39" t="s">
        <v>390</v>
      </c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</row>
    <row r="186" spans="1:19" s="38" customFormat="1" ht="25.2" x14ac:dyDescent="0.45">
      <c r="A186" s="49">
        <v>30</v>
      </c>
      <c r="B186" s="51" t="s">
        <v>441</v>
      </c>
      <c r="C186" s="51"/>
      <c r="D186" s="52" t="s">
        <v>13</v>
      </c>
      <c r="E186" s="39" t="s">
        <v>442</v>
      </c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</row>
    <row r="187" spans="1:19" s="38" customFormat="1" ht="25.2" x14ac:dyDescent="0.45">
      <c r="A187" s="49">
        <v>31</v>
      </c>
      <c r="B187" s="51" t="s">
        <v>465</v>
      </c>
      <c r="C187" s="51" t="s">
        <v>466</v>
      </c>
      <c r="D187" s="52" t="s">
        <v>13</v>
      </c>
      <c r="E187" s="39" t="s">
        <v>467</v>
      </c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</row>
    <row r="188" spans="1:19" ht="25.2" x14ac:dyDescent="0.45">
      <c r="A188" s="49">
        <v>32</v>
      </c>
      <c r="B188" s="49" t="s">
        <v>354</v>
      </c>
      <c r="C188" s="49" t="s">
        <v>355</v>
      </c>
      <c r="D188" s="52" t="s">
        <v>13</v>
      </c>
      <c r="E188" s="29" t="s">
        <v>356</v>
      </c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</row>
    <row r="189" spans="1:19" ht="25.2" x14ac:dyDescent="0.45">
      <c r="A189" s="49">
        <v>33</v>
      </c>
      <c r="B189" s="49" t="s">
        <v>483</v>
      </c>
      <c r="C189" s="49" t="s">
        <v>484</v>
      </c>
      <c r="D189" s="52" t="s">
        <v>13</v>
      </c>
      <c r="E189" s="29" t="s">
        <v>485</v>
      </c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</row>
    <row r="190" spans="1:19" ht="25.2" x14ac:dyDescent="0.45">
      <c r="A190" s="49">
        <v>34</v>
      </c>
      <c r="B190" s="49" t="s">
        <v>512</v>
      </c>
      <c r="C190" s="49" t="s">
        <v>513</v>
      </c>
      <c r="D190" s="52" t="s">
        <v>13</v>
      </c>
      <c r="E190" s="29" t="s">
        <v>514</v>
      </c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</row>
    <row r="191" spans="1:19" ht="25.2" x14ac:dyDescent="0.45">
      <c r="A191" s="49">
        <v>35</v>
      </c>
      <c r="B191" s="49" t="s">
        <v>649</v>
      </c>
      <c r="C191" s="49" t="s">
        <v>650</v>
      </c>
      <c r="D191" s="52" t="s">
        <v>13</v>
      </c>
      <c r="E191" s="29" t="s">
        <v>651</v>
      </c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</row>
    <row r="192" spans="1:19" ht="25.2" x14ac:dyDescent="0.45">
      <c r="A192" s="49"/>
      <c r="B192" s="49"/>
      <c r="C192" s="49"/>
      <c r="D192" s="52"/>
      <c r="E192" s="29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</row>
    <row r="193" spans="1:19" ht="25.2" x14ac:dyDescent="0.45">
      <c r="A193" s="49"/>
      <c r="B193" s="49"/>
      <c r="C193" s="49"/>
      <c r="D193" s="52"/>
      <c r="E193" s="29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</row>
    <row r="194" spans="1:19" ht="25.2" x14ac:dyDescent="0.45">
      <c r="A194" s="49"/>
      <c r="B194" s="49"/>
      <c r="C194" s="49"/>
      <c r="D194" s="52"/>
      <c r="E194" s="29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</row>
    <row r="195" spans="1:19" ht="25.2" x14ac:dyDescent="0.45">
      <c r="A195" s="49"/>
      <c r="B195" s="49"/>
      <c r="C195" s="49"/>
      <c r="D195" s="52"/>
      <c r="E195" s="29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</row>
    <row r="196" spans="1:19" ht="25.2" x14ac:dyDescent="0.45">
      <c r="A196" s="49"/>
      <c r="B196" s="49"/>
      <c r="C196" s="49"/>
      <c r="D196" s="52"/>
      <c r="E196" s="29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</row>
    <row r="197" spans="1:19" ht="25.2" x14ac:dyDescent="0.45">
      <c r="A197" s="49"/>
      <c r="B197" s="49"/>
      <c r="C197" s="49"/>
      <c r="D197" s="52"/>
      <c r="E197" s="29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</row>
    <row r="198" spans="1:19" ht="25.2" x14ac:dyDescent="0.45">
      <c r="A198" s="49"/>
      <c r="B198" s="49"/>
      <c r="C198" s="49"/>
      <c r="D198" s="52"/>
      <c r="E198" s="29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</row>
    <row r="199" spans="1:19" ht="25.2" x14ac:dyDescent="0.45">
      <c r="A199" s="49"/>
      <c r="B199" s="49"/>
      <c r="C199" s="49"/>
      <c r="D199" s="52"/>
      <c r="E199" s="29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</row>
    <row r="200" spans="1:19" ht="25.2" x14ac:dyDescent="0.45">
      <c r="A200" s="49"/>
      <c r="B200" s="49"/>
      <c r="C200" s="49"/>
      <c r="D200" s="52"/>
      <c r="E200" s="29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</row>
    <row r="201" spans="1:19" ht="25.2" x14ac:dyDescent="0.45">
      <c r="A201" s="49"/>
      <c r="B201" s="49"/>
      <c r="C201" s="49"/>
      <c r="D201" s="52"/>
      <c r="E201" s="29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</row>
    <row r="202" spans="1:19" s="38" customFormat="1" ht="25.2" x14ac:dyDescent="0.45">
      <c r="A202" s="49"/>
      <c r="B202" s="51" t="s">
        <v>26</v>
      </c>
      <c r="C202" s="51"/>
      <c r="D202" s="52"/>
      <c r="E202" s="39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</row>
    <row r="203" spans="1:19" s="38" customFormat="1" ht="25.2" x14ac:dyDescent="0.45">
      <c r="A203" s="49"/>
      <c r="B203" s="51"/>
      <c r="C203" s="51"/>
      <c r="D203" s="52"/>
      <c r="E203" s="39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</row>
    <row r="204" spans="1:19" s="38" customFormat="1" ht="25.2" x14ac:dyDescent="0.45">
      <c r="A204" s="49"/>
      <c r="B204" s="51"/>
      <c r="C204" s="51"/>
      <c r="D204" s="52"/>
      <c r="E204" s="39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</row>
    <row r="205" spans="1:19" ht="24.6" x14ac:dyDescent="0.4">
      <c r="A205" s="49">
        <v>1</v>
      </c>
      <c r="B205" s="49" t="s">
        <v>126</v>
      </c>
      <c r="C205" s="49" t="s">
        <v>135</v>
      </c>
      <c r="D205" s="49" t="s">
        <v>15</v>
      </c>
      <c r="E205" s="57" t="s">
        <v>136</v>
      </c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</row>
    <row r="206" spans="1:19" ht="24.6" x14ac:dyDescent="0.4">
      <c r="A206" s="49">
        <v>2</v>
      </c>
      <c r="B206" s="49" t="s">
        <v>127</v>
      </c>
      <c r="C206" s="49" t="s">
        <v>134</v>
      </c>
      <c r="D206" s="49" t="s">
        <v>15</v>
      </c>
      <c r="E206" s="57" t="s">
        <v>177</v>
      </c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</row>
    <row r="207" spans="1:19" ht="24.6" x14ac:dyDescent="0.4">
      <c r="A207" s="49">
        <v>3</v>
      </c>
      <c r="B207" s="49" t="s">
        <v>132</v>
      </c>
      <c r="C207" s="49" t="s">
        <v>133</v>
      </c>
      <c r="D207" s="49" t="s">
        <v>15</v>
      </c>
      <c r="E207" s="57" t="s">
        <v>429</v>
      </c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</row>
    <row r="208" spans="1:19" ht="24.6" x14ac:dyDescent="0.4">
      <c r="A208" s="49">
        <v>4</v>
      </c>
      <c r="B208" s="49" t="s">
        <v>137</v>
      </c>
      <c r="C208" s="49" t="s">
        <v>138</v>
      </c>
      <c r="D208" s="49" t="s">
        <v>15</v>
      </c>
      <c r="E208" s="57" t="s">
        <v>171</v>
      </c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</row>
    <row r="209" spans="1:19" ht="24.6" x14ac:dyDescent="0.4">
      <c r="A209" s="49">
        <v>5</v>
      </c>
      <c r="B209" s="49" t="s">
        <v>143</v>
      </c>
      <c r="C209" s="49" t="s">
        <v>144</v>
      </c>
      <c r="D209" s="49" t="s">
        <v>15</v>
      </c>
      <c r="E209" s="58" t="s">
        <v>175</v>
      </c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</row>
    <row r="210" spans="1:19" ht="24.6" x14ac:dyDescent="0.4">
      <c r="A210" s="49">
        <v>6</v>
      </c>
      <c r="B210" s="49" t="s">
        <v>145</v>
      </c>
      <c r="C210" s="49" t="s">
        <v>146</v>
      </c>
      <c r="D210" s="49" t="s">
        <v>15</v>
      </c>
      <c r="E210" s="57" t="s">
        <v>147</v>
      </c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</row>
    <row r="211" spans="1:19" ht="24.6" x14ac:dyDescent="0.4">
      <c r="A211" s="49">
        <v>7</v>
      </c>
      <c r="B211" s="49" t="s">
        <v>148</v>
      </c>
      <c r="C211" s="49" t="s">
        <v>149</v>
      </c>
      <c r="D211" s="49" t="s">
        <v>15</v>
      </c>
      <c r="E211" s="57" t="s">
        <v>150</v>
      </c>
      <c r="F211" s="43">
        <v>0</v>
      </c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</row>
    <row r="212" spans="1:19" ht="24.6" x14ac:dyDescent="0.4">
      <c r="A212" s="49">
        <v>8</v>
      </c>
      <c r="B212" s="49" t="s">
        <v>151</v>
      </c>
      <c r="C212" s="49" t="s">
        <v>152</v>
      </c>
      <c r="D212" s="49" t="s">
        <v>15</v>
      </c>
      <c r="E212" s="57" t="s">
        <v>153</v>
      </c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</row>
    <row r="213" spans="1:19" ht="24.6" x14ac:dyDescent="0.4">
      <c r="A213" s="49">
        <v>9</v>
      </c>
      <c r="B213" s="49" t="s">
        <v>154</v>
      </c>
      <c r="C213" s="49" t="s">
        <v>155</v>
      </c>
      <c r="D213" s="49" t="s">
        <v>15</v>
      </c>
      <c r="E213" s="57" t="s">
        <v>156</v>
      </c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</row>
    <row r="214" spans="1:19" ht="24.6" x14ac:dyDescent="0.4">
      <c r="A214" s="49">
        <v>10</v>
      </c>
      <c r="B214" s="49" t="s">
        <v>639</v>
      </c>
      <c r="C214" s="49" t="s">
        <v>640</v>
      </c>
      <c r="D214" s="49" t="s">
        <v>15</v>
      </c>
      <c r="E214" s="57" t="s">
        <v>641</v>
      </c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</row>
    <row r="215" spans="1:19" ht="24.6" x14ac:dyDescent="0.4">
      <c r="A215" s="49">
        <v>11</v>
      </c>
      <c r="B215" s="49" t="s">
        <v>294</v>
      </c>
      <c r="C215" s="49" t="s">
        <v>159</v>
      </c>
      <c r="D215" s="49" t="s">
        <v>15</v>
      </c>
      <c r="E215" s="57" t="s">
        <v>160</v>
      </c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</row>
    <row r="216" spans="1:19" ht="24.6" x14ac:dyDescent="0.4">
      <c r="A216" s="49">
        <v>12</v>
      </c>
      <c r="B216" s="49" t="s">
        <v>162</v>
      </c>
      <c r="C216" s="49" t="s">
        <v>163</v>
      </c>
      <c r="D216" s="49" t="s">
        <v>15</v>
      </c>
      <c r="E216" s="57" t="s">
        <v>164</v>
      </c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</row>
    <row r="217" spans="1:19" ht="24.6" x14ac:dyDescent="0.4">
      <c r="A217" s="49">
        <v>13</v>
      </c>
      <c r="B217" s="49" t="s">
        <v>165</v>
      </c>
      <c r="C217" s="49" t="s">
        <v>166</v>
      </c>
      <c r="D217" s="49" t="s">
        <v>15</v>
      </c>
      <c r="E217" s="57" t="s">
        <v>193</v>
      </c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</row>
    <row r="218" spans="1:19" ht="24.6" x14ac:dyDescent="0.4">
      <c r="A218" s="49">
        <v>14</v>
      </c>
      <c r="B218" s="49" t="s">
        <v>239</v>
      </c>
      <c r="C218" s="49" t="s">
        <v>170</v>
      </c>
      <c r="D218" s="49" t="s">
        <v>15</v>
      </c>
      <c r="E218" s="57" t="s">
        <v>240</v>
      </c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</row>
    <row r="219" spans="1:19" ht="24.6" x14ac:dyDescent="0.4">
      <c r="A219" s="49">
        <v>15</v>
      </c>
      <c r="B219" s="49" t="s">
        <v>176</v>
      </c>
      <c r="C219" s="49" t="s">
        <v>183</v>
      </c>
      <c r="D219" s="49" t="s">
        <v>15</v>
      </c>
      <c r="E219" s="57" t="s">
        <v>429</v>
      </c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</row>
    <row r="220" spans="1:19" ht="24.6" x14ac:dyDescent="0.4">
      <c r="A220" s="49">
        <v>16</v>
      </c>
      <c r="B220" s="49" t="s">
        <v>173</v>
      </c>
      <c r="C220" s="49" t="s">
        <v>223</v>
      </c>
      <c r="D220" s="49" t="s">
        <v>15</v>
      </c>
      <c r="E220" s="57" t="s">
        <v>174</v>
      </c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</row>
    <row r="221" spans="1:19" ht="24.6" x14ac:dyDescent="0.4">
      <c r="A221" s="49">
        <v>17</v>
      </c>
      <c r="B221" s="49" t="s">
        <v>178</v>
      </c>
      <c r="C221" s="49" t="s">
        <v>180</v>
      </c>
      <c r="D221" s="49" t="s">
        <v>15</v>
      </c>
      <c r="E221" s="57" t="s">
        <v>179</v>
      </c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</row>
    <row r="222" spans="1:19" ht="24.6" x14ac:dyDescent="0.4">
      <c r="A222" s="49">
        <v>18</v>
      </c>
      <c r="B222" s="49" t="s">
        <v>187</v>
      </c>
      <c r="C222" s="49" t="s">
        <v>182</v>
      </c>
      <c r="D222" s="49" t="s">
        <v>15</v>
      </c>
      <c r="E222" s="57" t="s">
        <v>677</v>
      </c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</row>
    <row r="223" spans="1:19" ht="24.6" x14ac:dyDescent="0.4">
      <c r="A223" s="49">
        <v>19</v>
      </c>
      <c r="B223" s="49" t="s">
        <v>291</v>
      </c>
      <c r="C223" s="49" t="s">
        <v>292</v>
      </c>
      <c r="D223" s="49" t="s">
        <v>15</v>
      </c>
      <c r="E223" s="29" t="s">
        <v>293</v>
      </c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</row>
    <row r="224" spans="1:19" ht="24.6" x14ac:dyDescent="0.4">
      <c r="A224" s="49">
        <v>20</v>
      </c>
      <c r="B224" s="49" t="s">
        <v>700</v>
      </c>
      <c r="C224" s="49" t="s">
        <v>380</v>
      </c>
      <c r="D224" s="49" t="s">
        <v>15</v>
      </c>
      <c r="E224" s="29" t="s">
        <v>701</v>
      </c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</row>
    <row r="225" spans="1:19" ht="24.6" x14ac:dyDescent="0.4">
      <c r="A225" s="49">
        <v>21</v>
      </c>
      <c r="B225" s="49" t="s">
        <v>351</v>
      </c>
      <c r="C225" s="49" t="s">
        <v>352</v>
      </c>
      <c r="D225" s="49" t="s">
        <v>15</v>
      </c>
      <c r="E225" s="29" t="s">
        <v>353</v>
      </c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</row>
    <row r="226" spans="1:19" ht="24.6" x14ac:dyDescent="0.4">
      <c r="A226" s="49">
        <v>22</v>
      </c>
      <c r="B226" s="49" t="s">
        <v>357</v>
      </c>
      <c r="C226" s="49" t="s">
        <v>358</v>
      </c>
      <c r="D226" s="49" t="s">
        <v>15</v>
      </c>
      <c r="E226" s="29" t="s">
        <v>429</v>
      </c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</row>
    <row r="227" spans="1:19" ht="24.6" x14ac:dyDescent="0.4">
      <c r="A227" s="49">
        <v>23</v>
      </c>
      <c r="B227" s="49" t="s">
        <v>379</v>
      </c>
      <c r="C227" s="49" t="s">
        <v>380</v>
      </c>
      <c r="D227" s="49" t="s">
        <v>15</v>
      </c>
      <c r="E227" s="29" t="s">
        <v>406</v>
      </c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</row>
    <row r="228" spans="1:19" ht="24.6" x14ac:dyDescent="0.4">
      <c r="A228" s="49">
        <v>24</v>
      </c>
      <c r="B228" s="49" t="s">
        <v>381</v>
      </c>
      <c r="C228" s="49" t="s">
        <v>421</v>
      </c>
      <c r="D228" s="49" t="s">
        <v>15</v>
      </c>
      <c r="E228" s="29" t="s">
        <v>389</v>
      </c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</row>
    <row r="229" spans="1:19" ht="24.6" x14ac:dyDescent="0.4">
      <c r="A229" s="49">
        <v>25</v>
      </c>
      <c r="B229" s="49" t="s">
        <v>422</v>
      </c>
      <c r="C229" s="49" t="s">
        <v>423</v>
      </c>
      <c r="D229" s="49" t="s">
        <v>15</v>
      </c>
      <c r="E229" s="29" t="s">
        <v>428</v>
      </c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</row>
    <row r="230" spans="1:19" ht="24.6" x14ac:dyDescent="0.4">
      <c r="A230" s="49">
        <v>26</v>
      </c>
      <c r="B230" s="49" t="s">
        <v>443</v>
      </c>
      <c r="C230" s="49" t="s">
        <v>447</v>
      </c>
      <c r="D230" s="49" t="s">
        <v>15</v>
      </c>
      <c r="E230" s="29" t="s">
        <v>456</v>
      </c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</row>
    <row r="231" spans="1:19" ht="24.6" x14ac:dyDescent="0.4">
      <c r="A231" s="49">
        <v>27</v>
      </c>
      <c r="B231" s="49" t="s">
        <v>448</v>
      </c>
      <c r="C231" s="49" t="s">
        <v>449</v>
      </c>
      <c r="D231" s="49" t="s">
        <v>15</v>
      </c>
      <c r="E231" s="29" t="s">
        <v>623</v>
      </c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</row>
    <row r="232" spans="1:19" ht="24.6" x14ac:dyDescent="0.4">
      <c r="A232" s="49">
        <v>28</v>
      </c>
      <c r="B232" s="49" t="s">
        <v>450</v>
      </c>
      <c r="C232" s="49" t="s">
        <v>451</v>
      </c>
      <c r="D232" s="49" t="s">
        <v>15</v>
      </c>
      <c r="E232" s="29" t="s">
        <v>452</v>
      </c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</row>
    <row r="233" spans="1:19" ht="24.6" x14ac:dyDescent="0.4">
      <c r="A233" s="49">
        <v>29</v>
      </c>
      <c r="B233" s="49" t="s">
        <v>515</v>
      </c>
      <c r="C233" s="49" t="s">
        <v>516</v>
      </c>
      <c r="D233" s="49" t="s">
        <v>15</v>
      </c>
      <c r="E233" s="29" t="s">
        <v>514</v>
      </c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</row>
    <row r="234" spans="1:19" ht="24.6" x14ac:dyDescent="0.4">
      <c r="A234" s="49">
        <v>30</v>
      </c>
      <c r="B234" s="49" t="s">
        <v>688</v>
      </c>
      <c r="C234" s="49" t="s">
        <v>689</v>
      </c>
      <c r="D234" s="49" t="s">
        <v>15</v>
      </c>
      <c r="E234" s="29" t="s">
        <v>687</v>
      </c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</row>
    <row r="235" spans="1:19" ht="24.6" x14ac:dyDescent="0.4">
      <c r="A235" s="49">
        <v>31</v>
      </c>
      <c r="B235" s="49" t="s">
        <v>690</v>
      </c>
      <c r="C235" s="49" t="s">
        <v>691</v>
      </c>
      <c r="D235" s="49" t="s">
        <v>15</v>
      </c>
      <c r="E235" s="29" t="s">
        <v>692</v>
      </c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</row>
    <row r="236" spans="1:19" ht="24.6" x14ac:dyDescent="0.4">
      <c r="A236" s="49"/>
      <c r="B236" s="49" t="s">
        <v>26</v>
      </c>
      <c r="C236" s="49"/>
      <c r="D236" s="49"/>
      <c r="E236" s="29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</row>
    <row r="237" spans="1:19" ht="24.6" x14ac:dyDescent="0.4">
      <c r="A237" s="49"/>
      <c r="B237" s="49"/>
      <c r="C237" s="49"/>
      <c r="D237" s="49"/>
      <c r="E237" s="29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</row>
    <row r="238" spans="1:19" ht="24.6" x14ac:dyDescent="0.4">
      <c r="A238" s="49"/>
      <c r="B238" s="49" t="s">
        <v>3</v>
      </c>
      <c r="C238" s="49" t="s">
        <v>55</v>
      </c>
      <c r="D238" s="49" t="s">
        <v>4</v>
      </c>
      <c r="E238" s="29" t="s">
        <v>24</v>
      </c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</row>
    <row r="239" spans="1:19" ht="25.8" x14ac:dyDescent="0.5">
      <c r="A239" s="49">
        <v>1</v>
      </c>
      <c r="B239" s="52" t="s">
        <v>44</v>
      </c>
      <c r="C239" s="53" t="s">
        <v>58</v>
      </c>
      <c r="D239" s="52" t="s">
        <v>17</v>
      </c>
      <c r="E239" s="31" t="s">
        <v>71</v>
      </c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</row>
    <row r="240" spans="1:19" ht="25.2" x14ac:dyDescent="0.45">
      <c r="A240" s="49">
        <v>2</v>
      </c>
      <c r="B240" s="52" t="s">
        <v>50</v>
      </c>
      <c r="C240" s="53" t="s">
        <v>59</v>
      </c>
      <c r="D240" s="52" t="s">
        <v>17</v>
      </c>
      <c r="E240" s="32" t="s">
        <v>181</v>
      </c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</row>
    <row r="241" spans="1:19" ht="25.8" x14ac:dyDescent="0.5">
      <c r="A241" s="49">
        <v>3</v>
      </c>
      <c r="B241" s="52" t="s">
        <v>37</v>
      </c>
      <c r="C241" s="53" t="s">
        <v>62</v>
      </c>
      <c r="D241" s="52" t="s">
        <v>17</v>
      </c>
      <c r="E241" s="31" t="s">
        <v>260</v>
      </c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</row>
    <row r="242" spans="1:19" ht="25.8" x14ac:dyDescent="0.5">
      <c r="A242" s="49">
        <v>4</v>
      </c>
      <c r="B242" s="52" t="s">
        <v>38</v>
      </c>
      <c r="C242" s="53" t="s">
        <v>63</v>
      </c>
      <c r="D242" s="52" t="s">
        <v>17</v>
      </c>
      <c r="E242" s="31" t="s">
        <v>73</v>
      </c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</row>
    <row r="243" spans="1:19" ht="25.8" x14ac:dyDescent="0.5">
      <c r="A243" s="49">
        <v>5</v>
      </c>
      <c r="B243" s="52" t="s">
        <v>57</v>
      </c>
      <c r="C243" s="53" t="s">
        <v>66</v>
      </c>
      <c r="D243" s="52" t="s">
        <v>17</v>
      </c>
      <c r="E243" s="31" t="s">
        <v>75</v>
      </c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</row>
    <row r="244" spans="1:19" ht="25.8" x14ac:dyDescent="0.5">
      <c r="A244" s="49">
        <v>6</v>
      </c>
      <c r="B244" s="52" t="s">
        <v>695</v>
      </c>
      <c r="C244" s="53" t="s">
        <v>696</v>
      </c>
      <c r="D244" s="52" t="s">
        <v>17</v>
      </c>
      <c r="E244" s="31" t="s">
        <v>697</v>
      </c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</row>
    <row r="245" spans="1:19" ht="25.8" x14ac:dyDescent="0.5">
      <c r="A245" s="49">
        <v>7</v>
      </c>
      <c r="B245" s="52" t="s">
        <v>39</v>
      </c>
      <c r="C245" s="53" t="s">
        <v>67</v>
      </c>
      <c r="D245" s="52" t="s">
        <v>17</v>
      </c>
      <c r="E245" s="31" t="s">
        <v>188</v>
      </c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</row>
    <row r="246" spans="1:19" ht="25.8" x14ac:dyDescent="0.5">
      <c r="A246" s="49">
        <v>8</v>
      </c>
      <c r="B246" s="52" t="s">
        <v>31</v>
      </c>
      <c r="C246" s="53" t="s">
        <v>68</v>
      </c>
      <c r="D246" s="52" t="s">
        <v>17</v>
      </c>
      <c r="E246" s="31" t="s">
        <v>76</v>
      </c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</row>
    <row r="247" spans="1:19" ht="25.8" x14ac:dyDescent="0.5">
      <c r="A247" s="49">
        <v>9</v>
      </c>
      <c r="B247" s="52" t="s">
        <v>172</v>
      </c>
      <c r="C247" s="53" t="s">
        <v>69</v>
      </c>
      <c r="D247" s="52" t="s">
        <v>17</v>
      </c>
      <c r="E247" s="31" t="s">
        <v>189</v>
      </c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</row>
    <row r="248" spans="1:19" ht="25.8" x14ac:dyDescent="0.5">
      <c r="A248" s="49">
        <v>10</v>
      </c>
      <c r="B248" s="52" t="s">
        <v>53</v>
      </c>
      <c r="C248" s="53" t="s">
        <v>70</v>
      </c>
      <c r="D248" s="52" t="s">
        <v>17</v>
      </c>
      <c r="E248" s="31" t="s">
        <v>190</v>
      </c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</row>
    <row r="249" spans="1:19" ht="25.8" x14ac:dyDescent="0.5">
      <c r="A249" s="49">
        <v>11</v>
      </c>
      <c r="B249" s="54" t="s">
        <v>125</v>
      </c>
      <c r="C249" s="53" t="s">
        <v>128</v>
      </c>
      <c r="D249" s="52" t="s">
        <v>17</v>
      </c>
      <c r="E249" s="31" t="s">
        <v>129</v>
      </c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</row>
    <row r="250" spans="1:19" ht="25.8" x14ac:dyDescent="0.5">
      <c r="A250" s="49">
        <v>12</v>
      </c>
      <c r="B250" s="54" t="s">
        <v>108</v>
      </c>
      <c r="C250" s="53" t="s">
        <v>109</v>
      </c>
      <c r="D250" s="52" t="s">
        <v>17</v>
      </c>
      <c r="E250" s="31" t="s">
        <v>110</v>
      </c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</row>
    <row r="251" spans="1:19" ht="25.8" x14ac:dyDescent="0.5">
      <c r="A251" s="49">
        <v>13</v>
      </c>
      <c r="B251" s="54" t="s">
        <v>105</v>
      </c>
      <c r="C251" s="53" t="s">
        <v>106</v>
      </c>
      <c r="D251" s="52" t="s">
        <v>17</v>
      </c>
      <c r="E251" s="31" t="s">
        <v>124</v>
      </c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</row>
    <row r="252" spans="1:19" ht="25.8" x14ac:dyDescent="0.5">
      <c r="A252" s="49">
        <v>14</v>
      </c>
      <c r="B252" s="52" t="s">
        <v>34</v>
      </c>
      <c r="C252" s="53" t="s">
        <v>56</v>
      </c>
      <c r="D252" s="52" t="s">
        <v>17</v>
      </c>
      <c r="E252" s="30" t="s">
        <v>35</v>
      </c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</row>
    <row r="253" spans="1:19" ht="25.8" x14ac:dyDescent="0.5">
      <c r="A253" s="49">
        <v>15</v>
      </c>
      <c r="B253" s="52" t="s">
        <v>346</v>
      </c>
      <c r="C253" s="53" t="s">
        <v>347</v>
      </c>
      <c r="D253" s="52" t="s">
        <v>17</v>
      </c>
      <c r="E253" s="31" t="s">
        <v>361</v>
      </c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</row>
    <row r="254" spans="1:19" ht="25.8" x14ac:dyDescent="0.5">
      <c r="A254" s="49">
        <v>16</v>
      </c>
      <c r="B254" s="52" t="s">
        <v>359</v>
      </c>
      <c r="C254" s="53" t="s">
        <v>360</v>
      </c>
      <c r="D254" s="52" t="s">
        <v>17</v>
      </c>
      <c r="E254" s="30" t="s">
        <v>362</v>
      </c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</row>
    <row r="255" spans="1:19" ht="25.8" x14ac:dyDescent="0.5">
      <c r="A255" s="49">
        <v>17</v>
      </c>
      <c r="B255" s="52" t="s">
        <v>363</v>
      </c>
      <c r="C255" s="53" t="s">
        <v>364</v>
      </c>
      <c r="D255" s="52" t="s">
        <v>17</v>
      </c>
      <c r="E255" s="31" t="s">
        <v>365</v>
      </c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</row>
    <row r="256" spans="1:19" ht="25.8" x14ac:dyDescent="0.5">
      <c r="A256" s="49">
        <v>18</v>
      </c>
      <c r="B256" s="52" t="s">
        <v>247</v>
      </c>
      <c r="C256" s="52" t="s">
        <v>248</v>
      </c>
      <c r="D256" s="52" t="s">
        <v>17</v>
      </c>
      <c r="E256" s="30" t="s">
        <v>249</v>
      </c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</row>
    <row r="257" spans="1:19" ht="25.8" x14ac:dyDescent="0.5">
      <c r="A257" s="49">
        <v>19</v>
      </c>
      <c r="B257" s="52" t="s">
        <v>265</v>
      </c>
      <c r="C257" s="52" t="s">
        <v>266</v>
      </c>
      <c r="D257" s="52" t="s">
        <v>17</v>
      </c>
      <c r="E257" s="30" t="s">
        <v>267</v>
      </c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</row>
    <row r="258" spans="1:19" ht="25.8" x14ac:dyDescent="0.5">
      <c r="A258" s="49">
        <v>20</v>
      </c>
      <c r="B258" s="52" t="s">
        <v>271</v>
      </c>
      <c r="C258" s="52" t="s">
        <v>139</v>
      </c>
      <c r="D258" s="52" t="s">
        <v>17</v>
      </c>
      <c r="E258" s="30" t="s">
        <v>272</v>
      </c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</row>
    <row r="259" spans="1:19" ht="25.8" x14ac:dyDescent="0.5">
      <c r="A259" s="49">
        <v>21</v>
      </c>
      <c r="B259" s="52" t="s">
        <v>276</v>
      </c>
      <c r="C259" s="52" t="s">
        <v>277</v>
      </c>
      <c r="D259" s="52" t="s">
        <v>17</v>
      </c>
      <c r="E259" s="30" t="s">
        <v>278</v>
      </c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</row>
    <row r="260" spans="1:19" ht="25.8" x14ac:dyDescent="0.5">
      <c r="A260" s="49">
        <v>22</v>
      </c>
      <c r="B260" s="52" t="s">
        <v>288</v>
      </c>
      <c r="C260" s="52" t="s">
        <v>289</v>
      </c>
      <c r="D260" s="52" t="s">
        <v>17</v>
      </c>
      <c r="E260" s="30" t="s">
        <v>290</v>
      </c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</row>
    <row r="261" spans="1:19" ht="25.8" x14ac:dyDescent="0.5">
      <c r="A261" s="49">
        <v>23</v>
      </c>
      <c r="B261" s="52" t="s">
        <v>372</v>
      </c>
      <c r="C261" s="52" t="s">
        <v>373</v>
      </c>
      <c r="D261" s="52" t="s">
        <v>17</v>
      </c>
      <c r="E261" s="30" t="s">
        <v>371</v>
      </c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</row>
    <row r="262" spans="1:19" ht="25.8" x14ac:dyDescent="0.5">
      <c r="A262" s="49">
        <v>24</v>
      </c>
      <c r="B262" s="52" t="s">
        <v>388</v>
      </c>
      <c r="C262" s="52" t="s">
        <v>60</v>
      </c>
      <c r="D262" s="52" t="s">
        <v>17</v>
      </c>
      <c r="E262" s="30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</row>
    <row r="263" spans="1:19" ht="25.8" x14ac:dyDescent="0.5">
      <c r="A263" s="49">
        <v>25</v>
      </c>
      <c r="B263" s="52" t="s">
        <v>585</v>
      </c>
      <c r="C263" s="52" t="s">
        <v>586</v>
      </c>
      <c r="D263" s="52" t="s">
        <v>17</v>
      </c>
      <c r="E263" s="30" t="s">
        <v>587</v>
      </c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</row>
    <row r="264" spans="1:19" ht="25.8" x14ac:dyDescent="0.5">
      <c r="A264" s="49">
        <v>26</v>
      </c>
      <c r="B264" s="52" t="s">
        <v>594</v>
      </c>
      <c r="C264" s="52" t="s">
        <v>595</v>
      </c>
      <c r="D264" s="52" t="s">
        <v>17</v>
      </c>
      <c r="E264" s="30" t="s">
        <v>596</v>
      </c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</row>
    <row r="265" spans="1:19" ht="25.8" x14ac:dyDescent="0.5">
      <c r="A265" s="51"/>
      <c r="B265" s="54" t="s">
        <v>26</v>
      </c>
      <c r="C265" s="52"/>
      <c r="D265" s="52"/>
      <c r="E265" s="30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</row>
    <row r="266" spans="1:19" ht="25.8" x14ac:dyDescent="0.5">
      <c r="A266" s="51"/>
      <c r="B266" s="52"/>
      <c r="C266" s="52"/>
      <c r="D266" s="52"/>
      <c r="E266" s="30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</row>
    <row r="267" spans="1:19" ht="25.2" x14ac:dyDescent="0.45">
      <c r="A267" s="51" t="s">
        <v>25</v>
      </c>
      <c r="B267" s="49" t="s">
        <v>3</v>
      </c>
      <c r="C267" s="49"/>
      <c r="D267" s="49" t="s">
        <v>4</v>
      </c>
      <c r="E267" s="29" t="s">
        <v>24</v>
      </c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</row>
    <row r="268" spans="1:19" ht="25.8" x14ac:dyDescent="0.5">
      <c r="A268" s="51">
        <v>1</v>
      </c>
      <c r="B268" s="54" t="s">
        <v>45</v>
      </c>
      <c r="C268" s="53" t="s">
        <v>77</v>
      </c>
      <c r="D268" s="51" t="s">
        <v>29</v>
      </c>
      <c r="E268" s="31" t="s">
        <v>230</v>
      </c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</row>
    <row r="269" spans="1:19" ht="25.8" x14ac:dyDescent="0.5">
      <c r="A269" s="51">
        <v>2</v>
      </c>
      <c r="B269" s="54" t="s">
        <v>20</v>
      </c>
      <c r="C269" s="53" t="s">
        <v>79</v>
      </c>
      <c r="D269" s="51" t="s">
        <v>29</v>
      </c>
      <c r="E269" s="31" t="s">
        <v>86</v>
      </c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</row>
    <row r="270" spans="1:19" ht="25.8" x14ac:dyDescent="0.5">
      <c r="A270" s="51">
        <v>3</v>
      </c>
      <c r="B270" s="54" t="s">
        <v>22</v>
      </c>
      <c r="C270" s="53" t="s">
        <v>83</v>
      </c>
      <c r="D270" s="51" t="s">
        <v>29</v>
      </c>
      <c r="E270" s="31" t="s">
        <v>191</v>
      </c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</row>
    <row r="271" spans="1:19" ht="25.8" x14ac:dyDescent="0.5">
      <c r="A271" s="51">
        <v>4</v>
      </c>
      <c r="B271" s="54" t="s">
        <v>28</v>
      </c>
      <c r="C271" s="53" t="s">
        <v>84</v>
      </c>
      <c r="D271" s="51" t="s">
        <v>29</v>
      </c>
      <c r="E271" s="31" t="s">
        <v>192</v>
      </c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</row>
    <row r="272" spans="1:19" ht="25.8" x14ac:dyDescent="0.5">
      <c r="A272" s="51">
        <v>5</v>
      </c>
      <c r="B272" s="52" t="s">
        <v>455</v>
      </c>
      <c r="C272" s="53" t="s">
        <v>115</v>
      </c>
      <c r="D272" s="51" t="s">
        <v>29</v>
      </c>
      <c r="E272" s="31" t="s">
        <v>677</v>
      </c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</row>
    <row r="273" spans="1:19" ht="25.8" x14ac:dyDescent="0.5">
      <c r="A273" s="51">
        <v>6</v>
      </c>
      <c r="B273" s="52" t="s">
        <v>140</v>
      </c>
      <c r="C273" s="53" t="s">
        <v>141</v>
      </c>
      <c r="D273" s="51" t="s">
        <v>29</v>
      </c>
      <c r="E273" s="31" t="s">
        <v>142</v>
      </c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</row>
    <row r="274" spans="1:19" ht="25.8" x14ac:dyDescent="0.5">
      <c r="A274" s="51">
        <v>7</v>
      </c>
      <c r="B274" s="54" t="s">
        <v>295</v>
      </c>
      <c r="C274" s="54" t="s">
        <v>296</v>
      </c>
      <c r="D274" s="51" t="s">
        <v>29</v>
      </c>
      <c r="E274" s="30" t="s">
        <v>297</v>
      </c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</row>
    <row r="275" spans="1:19" ht="25.8" x14ac:dyDescent="0.5">
      <c r="A275" s="51"/>
      <c r="B275" s="54"/>
      <c r="C275" s="54"/>
      <c r="D275" s="51"/>
      <c r="E275" s="30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</row>
    <row r="276" spans="1:19" ht="25.8" x14ac:dyDescent="0.5">
      <c r="A276" s="54"/>
      <c r="B276" s="54" t="s">
        <v>26</v>
      </c>
      <c r="C276" s="54"/>
      <c r="D276" s="51"/>
      <c r="E276" s="30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</row>
    <row r="277" spans="1:19" ht="25.8" x14ac:dyDescent="0.5">
      <c r="A277" s="54"/>
      <c r="B277" s="51"/>
      <c r="C277" s="53"/>
      <c r="D277" s="51"/>
      <c r="E277" s="30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</row>
    <row r="278" spans="1:19" ht="25.8" x14ac:dyDescent="0.5">
      <c r="A278" s="54"/>
      <c r="B278" s="49" t="s">
        <v>18</v>
      </c>
      <c r="C278" s="49"/>
      <c r="D278" s="49"/>
      <c r="E278" s="30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</row>
    <row r="279" spans="1:19" ht="25.8" x14ac:dyDescent="0.5">
      <c r="A279" s="55"/>
      <c r="B279" s="56"/>
      <c r="C279" s="56"/>
      <c r="D279" s="56"/>
      <c r="E279" s="35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</row>
    <row r="280" spans="1:19" ht="25.8" x14ac:dyDescent="0.5">
      <c r="A280" s="36"/>
      <c r="B280" s="36"/>
      <c r="C280" s="36"/>
      <c r="D280" s="36"/>
      <c r="E280" s="36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</row>
    <row r="281" spans="1:19" ht="25.8" x14ac:dyDescent="0.5">
      <c r="A281" s="51">
        <v>1</v>
      </c>
      <c r="B281" s="54" t="s">
        <v>407</v>
      </c>
      <c r="C281" s="53" t="s">
        <v>424</v>
      </c>
      <c r="D281" s="51" t="s">
        <v>29</v>
      </c>
      <c r="E281" s="31" t="s">
        <v>415</v>
      </c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</row>
    <row r="282" spans="1:19" ht="25.8" x14ac:dyDescent="0.5">
      <c r="A282" s="55"/>
      <c r="B282" s="56"/>
      <c r="C282" s="56"/>
      <c r="D282" s="36"/>
      <c r="E282" s="36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</row>
    <row r="283" spans="1:19" ht="25.8" x14ac:dyDescent="0.5">
      <c r="A283" s="54"/>
      <c r="B283" s="49" t="s">
        <v>3</v>
      </c>
      <c r="C283" s="49"/>
      <c r="D283" s="49" t="s">
        <v>4</v>
      </c>
      <c r="E283" s="30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</row>
    <row r="284" spans="1:19" ht="25.8" x14ac:dyDescent="0.5">
      <c r="A284" s="30">
        <v>1</v>
      </c>
      <c r="B284" s="54" t="s">
        <v>158</v>
      </c>
      <c r="C284" s="53"/>
      <c r="D284" s="54" t="s">
        <v>15</v>
      </c>
      <c r="E284" s="30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</row>
    <row r="285" spans="1:19" ht="25.8" x14ac:dyDescent="0.5">
      <c r="A285" s="30">
        <v>2</v>
      </c>
      <c r="B285" s="54" t="s">
        <v>47</v>
      </c>
      <c r="C285" s="53" t="s">
        <v>65</v>
      </c>
      <c r="D285" s="54" t="s">
        <v>17</v>
      </c>
      <c r="E285" s="30" t="s">
        <v>48</v>
      </c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</row>
    <row r="286" spans="1:19" ht="25.8" x14ac:dyDescent="0.5">
      <c r="A286" s="30">
        <v>3</v>
      </c>
      <c r="B286" s="54" t="s">
        <v>107</v>
      </c>
      <c r="C286" s="53"/>
      <c r="D286" s="54" t="s">
        <v>13</v>
      </c>
      <c r="E286" s="31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</row>
    <row r="287" spans="1:19" ht="25.8" x14ac:dyDescent="0.5">
      <c r="A287" s="30">
        <v>4</v>
      </c>
      <c r="B287" s="51" t="s">
        <v>236</v>
      </c>
      <c r="C287" s="30" t="s">
        <v>237</v>
      </c>
      <c r="D287" s="30" t="s">
        <v>13</v>
      </c>
      <c r="E287" s="30" t="s">
        <v>238</v>
      </c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</row>
    <row r="288" spans="1:19" ht="25.8" x14ac:dyDescent="0.5">
      <c r="A288" s="30">
        <v>5</v>
      </c>
      <c r="B288" s="51" t="s">
        <v>273</v>
      </c>
      <c r="C288" s="30"/>
      <c r="D288" s="54" t="s">
        <v>12</v>
      </c>
      <c r="E288" s="30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</row>
    <row r="289" spans="1:19" ht="25.8" x14ac:dyDescent="0.5">
      <c r="A289" s="30">
        <v>6</v>
      </c>
      <c r="B289" s="51" t="s">
        <v>253</v>
      </c>
      <c r="C289" s="30"/>
      <c r="D289" s="54" t="s">
        <v>12</v>
      </c>
      <c r="E289" s="30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</row>
    <row r="290" spans="1:19" ht="25.8" x14ac:dyDescent="0.5">
      <c r="A290" s="30">
        <v>7</v>
      </c>
      <c r="B290" s="54" t="s">
        <v>413</v>
      </c>
      <c r="C290" s="53"/>
      <c r="D290" s="51" t="s">
        <v>17</v>
      </c>
      <c r="E290" s="31" t="s">
        <v>414</v>
      </c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</row>
    <row r="291" spans="1:19" ht="25.8" x14ac:dyDescent="0.5">
      <c r="A291" s="36"/>
      <c r="B291" s="36"/>
      <c r="C291" s="36"/>
      <c r="D291" s="36"/>
      <c r="E291" s="36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</row>
    <row r="292" spans="1:19" ht="25.8" x14ac:dyDescent="0.5">
      <c r="A292" s="36"/>
      <c r="B292" s="36"/>
      <c r="C292" s="36"/>
      <c r="D292" s="36"/>
      <c r="E292" s="36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</row>
    <row r="293" spans="1:19" ht="25.8" x14ac:dyDescent="0.5">
      <c r="A293" s="36"/>
      <c r="B293" s="36"/>
      <c r="C293" s="36"/>
      <c r="D293" s="36"/>
      <c r="E293" s="36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</row>
    <row r="294" spans="1:19" ht="25.8" x14ac:dyDescent="0.5">
      <c r="A294" s="36"/>
      <c r="B294" s="36"/>
      <c r="C294" s="36"/>
      <c r="D294" s="36"/>
      <c r="E294" s="36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</row>
    <row r="295" spans="1:19" ht="25.8" x14ac:dyDescent="0.5">
      <c r="A295" s="36"/>
      <c r="B295" s="36"/>
      <c r="C295" s="36"/>
      <c r="D295" s="36"/>
      <c r="E295" s="36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</row>
    <row r="296" spans="1:19" ht="25.8" x14ac:dyDescent="0.5">
      <c r="A296" s="36"/>
      <c r="B296" s="36"/>
      <c r="C296" s="36"/>
      <c r="D296" s="36"/>
      <c r="E296" s="36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</row>
    <row r="297" spans="1:19" ht="25.8" x14ac:dyDescent="0.5">
      <c r="A297" s="36"/>
      <c r="B297" s="36"/>
      <c r="C297" s="36"/>
      <c r="D297" s="36"/>
      <c r="E297" s="36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</row>
    <row r="298" spans="1:19" ht="21" x14ac:dyDescent="0.4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</row>
    <row r="299" spans="1:19" ht="21" x14ac:dyDescent="0.4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</row>
    <row r="300" spans="1:19" ht="21" x14ac:dyDescent="0.4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</row>
    <row r="301" spans="1:19" ht="21" x14ac:dyDescent="0.4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</row>
    <row r="302" spans="1:19" ht="21" x14ac:dyDescent="0.4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</row>
    <row r="303" spans="1:19" ht="21" x14ac:dyDescent="0.4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</row>
    <row r="304" spans="1:19" ht="21" x14ac:dyDescent="0.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</row>
    <row r="305" spans="1:19" ht="21" x14ac:dyDescent="0.4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</row>
    <row r="306" spans="1:19" ht="21" x14ac:dyDescent="0.4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</row>
    <row r="307" spans="1:19" ht="21" x14ac:dyDescent="0.4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</row>
    <row r="308" spans="1:19" ht="21" x14ac:dyDescent="0.4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</row>
    <row r="309" spans="1:19" ht="21" x14ac:dyDescent="0.4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</row>
    <row r="310" spans="1:19" ht="21" x14ac:dyDescent="0.4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</row>
    <row r="311" spans="1:19" ht="21" x14ac:dyDescent="0.4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</row>
    <row r="312" spans="1:19" ht="21" x14ac:dyDescent="0.4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</row>
    <row r="313" spans="1:19" ht="21" x14ac:dyDescent="0.4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</row>
    <row r="314" spans="1:19" ht="21" x14ac:dyDescent="0.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</row>
    <row r="315" spans="1:19" ht="21" x14ac:dyDescent="0.4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</row>
    <row r="316" spans="1:19" ht="21" x14ac:dyDescent="0.4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</row>
    <row r="317" spans="1:19" ht="21" x14ac:dyDescent="0.4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</row>
    <row r="318" spans="1:19" ht="21" x14ac:dyDescent="0.4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</row>
    <row r="319" spans="1:19" ht="21" x14ac:dyDescent="0.4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</row>
    <row r="320" spans="1:19" ht="21" x14ac:dyDescent="0.4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</row>
    <row r="321" spans="1:19" ht="21" x14ac:dyDescent="0.4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</row>
    <row r="322" spans="1:19" ht="21" x14ac:dyDescent="0.4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</row>
    <row r="323" spans="1:19" ht="21" x14ac:dyDescent="0.4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</row>
    <row r="324" spans="1:19" ht="21" x14ac:dyDescent="0.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</row>
    <row r="325" spans="1:19" ht="21" x14ac:dyDescent="0.4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</row>
    <row r="326" spans="1:19" ht="21" x14ac:dyDescent="0.4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</row>
    <row r="327" spans="1:19" ht="21" x14ac:dyDescent="0.4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</row>
    <row r="328" spans="1:19" ht="21" x14ac:dyDescent="0.4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</row>
    <row r="329" spans="1:19" ht="21" x14ac:dyDescent="0.4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</row>
    <row r="330" spans="1:19" ht="21" x14ac:dyDescent="0.4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</row>
    <row r="331" spans="1:19" ht="21" x14ac:dyDescent="0.4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</row>
    <row r="332" spans="1:19" ht="21" x14ac:dyDescent="0.4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</row>
    <row r="333" spans="1:19" ht="21" x14ac:dyDescent="0.4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</row>
    <row r="334" spans="1:19" ht="21" x14ac:dyDescent="0.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</row>
    <row r="335" spans="1:19" ht="21" x14ac:dyDescent="0.4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</row>
    <row r="336" spans="1:19" ht="21" x14ac:dyDescent="0.4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</row>
    <row r="337" spans="1:19" ht="21" x14ac:dyDescent="0.4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</row>
    <row r="338" spans="1:19" ht="21" x14ac:dyDescent="0.4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</row>
    <row r="339" spans="1:19" ht="21" x14ac:dyDescent="0.4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</row>
    <row r="340" spans="1:19" ht="21" x14ac:dyDescent="0.4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</row>
    <row r="341" spans="1:19" ht="21" x14ac:dyDescent="0.4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</row>
    <row r="342" spans="1:19" ht="21" x14ac:dyDescent="0.4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</row>
    <row r="343" spans="1:19" ht="21" x14ac:dyDescent="0.4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</row>
    <row r="344" spans="1:19" ht="21" x14ac:dyDescent="0.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</row>
    <row r="345" spans="1:19" ht="21" x14ac:dyDescent="0.4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</row>
    <row r="346" spans="1:19" ht="21" x14ac:dyDescent="0.4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</row>
    <row r="347" spans="1:19" ht="21" x14ac:dyDescent="0.4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</row>
    <row r="348" spans="1:19" ht="21" x14ac:dyDescent="0.4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</row>
    <row r="349" spans="1:19" ht="21" x14ac:dyDescent="0.4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</row>
    <row r="350" spans="1:19" ht="21" x14ac:dyDescent="0.4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</row>
    <row r="351" spans="1:19" ht="21" x14ac:dyDescent="0.4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</row>
    <row r="352" spans="1:19" ht="21" x14ac:dyDescent="0.4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</row>
    <row r="353" spans="1:19" ht="21" x14ac:dyDescent="0.4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</row>
    <row r="354" spans="1:19" ht="21" x14ac:dyDescent="0.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</row>
    <row r="355" spans="1:19" ht="21" x14ac:dyDescent="0.4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</row>
    <row r="356" spans="1:19" ht="21" x14ac:dyDescent="0.4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</row>
    <row r="357" spans="1:19" ht="21" x14ac:dyDescent="0.4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</row>
    <row r="358" spans="1:19" ht="21" x14ac:dyDescent="0.4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</row>
    <row r="359" spans="1:19" ht="21" x14ac:dyDescent="0.4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</row>
    <row r="360" spans="1:19" ht="21" x14ac:dyDescent="0.4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</row>
    <row r="361" spans="1:19" ht="21" x14ac:dyDescent="0.4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</row>
    <row r="362" spans="1:19" ht="21" x14ac:dyDescent="0.4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</row>
    <row r="363" spans="1:19" ht="21" x14ac:dyDescent="0.4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</row>
    <row r="364" spans="1:19" ht="21" x14ac:dyDescent="0.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</row>
    <row r="365" spans="1:19" ht="21" x14ac:dyDescent="0.4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</row>
    <row r="366" spans="1:19" ht="21" x14ac:dyDescent="0.4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</row>
    <row r="367" spans="1:19" ht="21" x14ac:dyDescent="0.4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</row>
    <row r="368" spans="1:19" ht="21" x14ac:dyDescent="0.4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</row>
    <row r="369" spans="1:19" ht="21" x14ac:dyDescent="0.4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</row>
    <row r="370" spans="1:19" ht="21" x14ac:dyDescent="0.4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</row>
    <row r="371" spans="1:19" ht="21" x14ac:dyDescent="0.4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</row>
    <row r="372" spans="1:19" ht="21" x14ac:dyDescent="0.4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</row>
    <row r="373" spans="1:19" ht="21" x14ac:dyDescent="0.4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</row>
    <row r="374" spans="1:19" ht="21" x14ac:dyDescent="0.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</row>
    <row r="375" spans="1:19" ht="21" x14ac:dyDescent="0.4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</row>
    <row r="376" spans="1:19" ht="21" x14ac:dyDescent="0.4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</row>
    <row r="377" spans="1:19" ht="21" x14ac:dyDescent="0.4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</row>
    <row r="378" spans="1:19" ht="21" x14ac:dyDescent="0.4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</row>
    <row r="379" spans="1:19" ht="21" x14ac:dyDescent="0.4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</row>
    <row r="380" spans="1:19" ht="21" x14ac:dyDescent="0.4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</row>
    <row r="381" spans="1:19" ht="21" x14ac:dyDescent="0.4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</row>
    <row r="382" spans="1:19" ht="21" x14ac:dyDescent="0.4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</row>
    <row r="383" spans="1:19" ht="21" x14ac:dyDescent="0.4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</row>
    <row r="384" spans="1:19" ht="21" x14ac:dyDescent="0.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</row>
    <row r="385" spans="1:19" ht="21" x14ac:dyDescent="0.4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</row>
    <row r="386" spans="1:19" ht="21" x14ac:dyDescent="0.4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</row>
    <row r="387" spans="1:19" ht="21" x14ac:dyDescent="0.4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</row>
    <row r="388" spans="1:19" ht="21" x14ac:dyDescent="0.4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</row>
    <row r="389" spans="1:19" ht="21" x14ac:dyDescent="0.4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</row>
    <row r="390" spans="1:19" ht="21" x14ac:dyDescent="0.4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</row>
    <row r="391" spans="1:19" ht="21" x14ac:dyDescent="0.4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</row>
    <row r="392" spans="1:19" ht="21" x14ac:dyDescent="0.4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</row>
    <row r="393" spans="1:19" ht="21" x14ac:dyDescent="0.4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</row>
    <row r="394" spans="1:19" ht="21" x14ac:dyDescent="0.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</row>
    <row r="395" spans="1:19" ht="21" x14ac:dyDescent="0.4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</row>
    <row r="396" spans="1:19" ht="21" x14ac:dyDescent="0.4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</row>
    <row r="397" spans="1:19" ht="21" x14ac:dyDescent="0.4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</row>
    <row r="398" spans="1:19" ht="21" x14ac:dyDescent="0.4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</row>
    <row r="399" spans="1:19" ht="21" x14ac:dyDescent="0.4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</row>
    <row r="400" spans="1:19" ht="21" x14ac:dyDescent="0.4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</row>
    <row r="401" spans="1:19" ht="21" x14ac:dyDescent="0.4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</row>
    <row r="402" spans="1:19" ht="21" x14ac:dyDescent="0.4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</row>
    <row r="403" spans="1:19" ht="21" x14ac:dyDescent="0.4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</row>
    <row r="404" spans="1:19" ht="21" x14ac:dyDescent="0.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</row>
    <row r="405" spans="1:19" ht="21" x14ac:dyDescent="0.4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</row>
    <row r="406" spans="1:19" ht="21" x14ac:dyDescent="0.4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</row>
    <row r="407" spans="1:19" ht="21" x14ac:dyDescent="0.4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</row>
    <row r="408" spans="1:19" ht="21" x14ac:dyDescent="0.4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</row>
    <row r="409" spans="1:19" ht="21" x14ac:dyDescent="0.4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</row>
    <row r="410" spans="1:19" ht="21" x14ac:dyDescent="0.4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</row>
    <row r="411" spans="1:19" ht="21" x14ac:dyDescent="0.4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</row>
    <row r="412" spans="1:19" ht="21" x14ac:dyDescent="0.4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</row>
    <row r="413" spans="1:19" ht="21" x14ac:dyDescent="0.4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</row>
    <row r="414" spans="1:19" ht="21" x14ac:dyDescent="0.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</row>
    <row r="415" spans="1:19" ht="21" x14ac:dyDescent="0.4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</row>
    <row r="416" spans="1:19" ht="21" x14ac:dyDescent="0.4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</row>
    <row r="417" spans="1:19" ht="21" x14ac:dyDescent="0.4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</row>
    <row r="418" spans="1:19" ht="21" x14ac:dyDescent="0.4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</row>
    <row r="419" spans="1:19" ht="21" x14ac:dyDescent="0.4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</row>
    <row r="420" spans="1:19" ht="21" x14ac:dyDescent="0.4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</row>
    <row r="421" spans="1:19" ht="21" x14ac:dyDescent="0.4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</row>
    <row r="422" spans="1:19" ht="21" x14ac:dyDescent="0.4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</row>
    <row r="423" spans="1:19" ht="21" x14ac:dyDescent="0.4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</row>
    <row r="424" spans="1:19" ht="21" x14ac:dyDescent="0.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</row>
    <row r="425" spans="1:19" ht="21" x14ac:dyDescent="0.4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</row>
    <row r="426" spans="1:19" ht="21" x14ac:dyDescent="0.4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</row>
    <row r="427" spans="1:19" ht="21" x14ac:dyDescent="0.4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</row>
    <row r="428" spans="1:19" ht="21" x14ac:dyDescent="0.4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</row>
    <row r="429" spans="1:19" ht="21" x14ac:dyDescent="0.4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</row>
    <row r="430" spans="1:19" ht="21" x14ac:dyDescent="0.4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</row>
    <row r="431" spans="1:19" ht="21" x14ac:dyDescent="0.4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</row>
    <row r="432" spans="1:19" ht="21" x14ac:dyDescent="0.4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</row>
    <row r="433" spans="1:19" ht="21" x14ac:dyDescent="0.4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</row>
    <row r="434" spans="1:19" ht="21" x14ac:dyDescent="0.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</row>
    <row r="435" spans="1:19" ht="21" x14ac:dyDescent="0.4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</row>
    <row r="436" spans="1:19" ht="21" x14ac:dyDescent="0.4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</row>
    <row r="437" spans="1:19" ht="21" x14ac:dyDescent="0.4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</row>
    <row r="438" spans="1:19" ht="21" x14ac:dyDescent="0.4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</row>
    <row r="439" spans="1:19" ht="21" x14ac:dyDescent="0.4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</row>
    <row r="440" spans="1:19" ht="21" x14ac:dyDescent="0.4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</row>
    <row r="441" spans="1:19" ht="21" x14ac:dyDescent="0.4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</row>
    <row r="442" spans="1:19" ht="21" x14ac:dyDescent="0.4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</row>
    <row r="443" spans="1:19" ht="21" x14ac:dyDescent="0.4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</row>
    <row r="444" spans="1:19" ht="21" x14ac:dyDescent="0.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</row>
    <row r="445" spans="1:19" ht="21" x14ac:dyDescent="0.4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</row>
    <row r="446" spans="1:19" ht="21" x14ac:dyDescent="0.4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</row>
    <row r="447" spans="1:19" ht="21" x14ac:dyDescent="0.4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</row>
    <row r="448" spans="1:19" ht="21" x14ac:dyDescent="0.4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</row>
    <row r="449" spans="1:19" ht="21" x14ac:dyDescent="0.4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</row>
    <row r="450" spans="1:19" ht="21" x14ac:dyDescent="0.4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</row>
    <row r="451" spans="1:19" ht="21" x14ac:dyDescent="0.4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</row>
    <row r="452" spans="1:19" ht="21" x14ac:dyDescent="0.4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</row>
    <row r="453" spans="1:19" ht="21" x14ac:dyDescent="0.4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</row>
    <row r="454" spans="1:19" ht="21" x14ac:dyDescent="0.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</row>
    <row r="455" spans="1:19" ht="21" x14ac:dyDescent="0.4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</row>
    <row r="456" spans="1:19" ht="21" x14ac:dyDescent="0.4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</row>
    <row r="457" spans="1:19" ht="21" x14ac:dyDescent="0.4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</row>
    <row r="458" spans="1:19" ht="21" x14ac:dyDescent="0.4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</row>
    <row r="459" spans="1:19" ht="21" x14ac:dyDescent="0.4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</row>
    <row r="460" spans="1:19" ht="21" x14ac:dyDescent="0.4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</row>
    <row r="461" spans="1:19" ht="21" x14ac:dyDescent="0.4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</row>
    <row r="462" spans="1:19" ht="21" x14ac:dyDescent="0.4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</row>
    <row r="468" spans="1:1" x14ac:dyDescent="0.3">
      <c r="A468" t="s">
        <v>264</v>
      </c>
    </row>
  </sheetData>
  <conditionalFormatting sqref="B238:C238">
    <cfRule type="duplicateValues" dxfId="69" priority="109"/>
    <cfRule type="duplicateValues" dxfId="68" priority="110"/>
  </conditionalFormatting>
  <conditionalFormatting sqref="B249">
    <cfRule type="duplicateValues" dxfId="67" priority="65"/>
    <cfRule type="duplicateValues" dxfId="66" priority="66"/>
  </conditionalFormatting>
  <conditionalFormatting sqref="B152:C152">
    <cfRule type="duplicateValues" dxfId="65" priority="47"/>
    <cfRule type="duplicateValues" dxfId="64" priority="48"/>
  </conditionalFormatting>
  <conditionalFormatting sqref="B90:C90">
    <cfRule type="duplicateValues" dxfId="63" priority="43"/>
    <cfRule type="duplicateValues" dxfId="62" priority="44"/>
  </conditionalFormatting>
  <conditionalFormatting sqref="B290">
    <cfRule type="duplicateValues" dxfId="61" priority="39"/>
    <cfRule type="duplicateValues" dxfId="60" priority="40"/>
  </conditionalFormatting>
  <conditionalFormatting sqref="B157">
    <cfRule type="duplicateValues" dxfId="59" priority="9137"/>
    <cfRule type="duplicateValues" dxfId="58" priority="9138"/>
  </conditionalFormatting>
  <conditionalFormatting sqref="B250">
    <cfRule type="duplicateValues" dxfId="57" priority="10489"/>
    <cfRule type="duplicateValues" dxfId="56" priority="10490"/>
  </conditionalFormatting>
  <conditionalFormatting sqref="B122:C122">
    <cfRule type="duplicateValues" dxfId="55" priority="21"/>
    <cfRule type="duplicateValues" dxfId="54" priority="22"/>
  </conditionalFormatting>
  <conditionalFormatting sqref="B81:C83 B19:C19">
    <cfRule type="duplicateValues" dxfId="53" priority="10645"/>
    <cfRule type="duplicateValues" dxfId="52" priority="10646"/>
  </conditionalFormatting>
  <conditionalFormatting sqref="B272:B273">
    <cfRule type="duplicateValues" dxfId="51" priority="10765"/>
    <cfRule type="duplicateValues" dxfId="50" priority="10766"/>
  </conditionalFormatting>
  <conditionalFormatting sqref="B188:C201">
    <cfRule type="duplicateValues" dxfId="49" priority="7"/>
    <cfRule type="duplicateValues" dxfId="48" priority="8"/>
  </conditionalFormatting>
  <conditionalFormatting sqref="B137:C140 B142:C143">
    <cfRule type="duplicateValues" dxfId="47" priority="5"/>
    <cfRule type="duplicateValues" dxfId="46" priority="6"/>
  </conditionalFormatting>
  <conditionalFormatting sqref="B145:C150 B123:C136">
    <cfRule type="duplicateValues" dxfId="45" priority="13621"/>
    <cfRule type="duplicateValues" dxfId="44" priority="13622"/>
  </conditionalFormatting>
  <conditionalFormatting sqref="B277">
    <cfRule type="duplicateValues" dxfId="43" priority="13623"/>
    <cfRule type="duplicateValues" dxfId="42" priority="13624"/>
  </conditionalFormatting>
  <conditionalFormatting sqref="B284:B285 B278:C279 B274:C276 B158:C175 B1:C18 B153:C156 B84:C89 B91:C121 B282:C283 B151:C151 B256:C267 B202:C237">
    <cfRule type="duplicateValues" dxfId="41" priority="13635"/>
    <cfRule type="duplicateValues" dxfId="40" priority="13636"/>
  </conditionalFormatting>
  <conditionalFormatting sqref="B286 B239:B248 B251">
    <cfRule type="duplicateValues" dxfId="39" priority="13637"/>
    <cfRule type="duplicateValues" dxfId="38" priority="13638"/>
  </conditionalFormatting>
  <conditionalFormatting sqref="B141">
    <cfRule type="duplicateValues" dxfId="37" priority="3"/>
    <cfRule type="duplicateValues" dxfId="36" priority="4"/>
  </conditionalFormatting>
  <conditionalFormatting sqref="B144">
    <cfRule type="duplicateValues" dxfId="35" priority="1"/>
    <cfRule type="duplicateValues" dxfId="34" priority="2"/>
  </conditionalFormatting>
  <conditionalFormatting sqref="B20:B80">
    <cfRule type="duplicateValues" dxfId="33" priority="13765"/>
    <cfRule type="duplicateValues" dxfId="32" priority="13766"/>
  </conditionalFormatting>
  <conditionalFormatting sqref="B252:B255">
    <cfRule type="duplicateValues" dxfId="31" priority="13833"/>
    <cfRule type="duplicateValues" dxfId="30" priority="13834"/>
  </conditionalFormatting>
  <conditionalFormatting sqref="B268:B269">
    <cfRule type="duplicateValues" dxfId="29" priority="13863"/>
    <cfRule type="duplicateValues" dxfId="28" priority="13864"/>
  </conditionalFormatting>
  <conditionalFormatting sqref="B281 B270:B271">
    <cfRule type="duplicateValues" dxfId="27" priority="13897"/>
    <cfRule type="duplicateValues" dxfId="26" priority="13898"/>
  </conditionalFormatting>
  <conditionalFormatting sqref="B176:C187">
    <cfRule type="duplicateValues" dxfId="25" priority="15249"/>
    <cfRule type="duplicateValues" dxfId="24" priority="15250"/>
  </conditionalFormatting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"/>
  <sheetViews>
    <sheetView topLeftCell="A38" workbookViewId="0">
      <selection activeCell="B58" sqref="B58"/>
    </sheetView>
  </sheetViews>
  <sheetFormatPr defaultRowHeight="14.4" x14ac:dyDescent="0.3"/>
  <cols>
    <col min="1" max="1" width="7.6640625" customWidth="1"/>
    <col min="2" max="2" width="54.44140625" customWidth="1"/>
    <col min="3" max="3" width="13.88671875" hidden="1" customWidth="1"/>
    <col min="4" max="4" width="18.33203125" hidden="1" customWidth="1"/>
    <col min="5" max="5" width="20.5546875" hidden="1" customWidth="1"/>
    <col min="6" max="6" width="21" hidden="1" customWidth="1"/>
    <col min="7" max="7" width="17" hidden="1" customWidth="1"/>
    <col min="8" max="10" width="0" hidden="1" customWidth="1"/>
    <col min="11" max="11" width="13" hidden="1" customWidth="1"/>
    <col min="12" max="12" width="17.44140625" customWidth="1"/>
    <col min="13" max="14" width="16.5546875" hidden="1" customWidth="1"/>
    <col min="15" max="15" width="53.5546875" customWidth="1"/>
  </cols>
  <sheetData>
    <row r="1" spans="1:15" ht="17.399999999999999" x14ac:dyDescent="0.3">
      <c r="A1" s="2" t="s">
        <v>0</v>
      </c>
      <c r="B1" s="2"/>
      <c r="C1" s="2"/>
      <c r="D1" s="2"/>
      <c r="E1" s="2"/>
      <c r="F1" s="1"/>
      <c r="G1" s="1"/>
    </row>
    <row r="2" spans="1:15" ht="18" x14ac:dyDescent="0.35">
      <c r="A2" s="6"/>
      <c r="B2" s="7" t="s">
        <v>1</v>
      </c>
      <c r="C2" s="7"/>
      <c r="D2" s="7"/>
      <c r="E2" s="7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18" x14ac:dyDescent="0.35">
      <c r="A3" s="6"/>
      <c r="B3" s="7" t="s">
        <v>30</v>
      </c>
      <c r="C3" s="7"/>
      <c r="D3" s="7"/>
      <c r="E3" s="7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ht="24.6" x14ac:dyDescent="0.4">
      <c r="A4" s="9"/>
      <c r="B4" s="9" t="s">
        <v>3</v>
      </c>
      <c r="C4" s="9"/>
      <c r="D4" s="9"/>
      <c r="E4" s="16"/>
      <c r="F4" s="16"/>
      <c r="G4" s="16"/>
      <c r="H4" s="16"/>
      <c r="I4" s="16"/>
      <c r="J4" s="16"/>
      <c r="K4" s="16"/>
      <c r="L4" s="16" t="s">
        <v>5</v>
      </c>
      <c r="M4" s="16"/>
      <c r="N4" s="16"/>
      <c r="O4" s="29"/>
    </row>
    <row r="5" spans="1:15" ht="25.8" x14ac:dyDescent="0.5">
      <c r="A5" s="12">
        <v>1</v>
      </c>
      <c r="B5" s="13" t="s">
        <v>36</v>
      </c>
      <c r="C5" s="28" t="s">
        <v>60</v>
      </c>
      <c r="D5" s="13" t="s">
        <v>6</v>
      </c>
      <c r="E5" s="14">
        <v>0</v>
      </c>
      <c r="F5" s="14">
        <f t="shared" ref="F5:F6" si="0">(550000+E5)</f>
        <v>550000</v>
      </c>
      <c r="G5" s="14">
        <f t="shared" ref="G5:G7" si="1">F5*0.7</f>
        <v>385000</v>
      </c>
      <c r="H5" s="14">
        <v>270000</v>
      </c>
      <c r="I5" s="14">
        <v>100000</v>
      </c>
      <c r="J5" s="14">
        <v>100000</v>
      </c>
      <c r="K5" s="14">
        <f t="shared" ref="K5:K7" si="2">SUM(H5:J5)</f>
        <v>470000</v>
      </c>
      <c r="L5" s="14">
        <v>1000</v>
      </c>
      <c r="M5" s="5">
        <v>1</v>
      </c>
      <c r="N5" s="5">
        <v>30000</v>
      </c>
      <c r="O5" s="31" t="s">
        <v>112</v>
      </c>
    </row>
    <row r="6" spans="1:15" ht="25.8" x14ac:dyDescent="0.5">
      <c r="A6" s="12">
        <v>2</v>
      </c>
      <c r="B6" s="13" t="s">
        <v>52</v>
      </c>
      <c r="C6" s="28" t="s">
        <v>61</v>
      </c>
      <c r="D6" s="13" t="s">
        <v>6</v>
      </c>
      <c r="E6" s="14">
        <v>0</v>
      </c>
      <c r="F6" s="14">
        <f t="shared" si="0"/>
        <v>550000</v>
      </c>
      <c r="G6" s="14">
        <f t="shared" si="1"/>
        <v>385000</v>
      </c>
      <c r="H6" s="14">
        <v>250000</v>
      </c>
      <c r="I6" s="14">
        <v>170000</v>
      </c>
      <c r="J6" s="14"/>
      <c r="K6" s="14">
        <f t="shared" si="2"/>
        <v>420000</v>
      </c>
      <c r="L6" s="14">
        <v>11000</v>
      </c>
      <c r="M6" s="5">
        <v>1</v>
      </c>
      <c r="N6" s="5">
        <v>30000</v>
      </c>
      <c r="O6" s="31" t="s">
        <v>72</v>
      </c>
    </row>
    <row r="7" spans="1:15" ht="25.8" x14ac:dyDescent="0.5">
      <c r="A7" s="12">
        <v>3</v>
      </c>
      <c r="B7" s="13" t="s">
        <v>40</v>
      </c>
      <c r="C7" s="28" t="s">
        <v>64</v>
      </c>
      <c r="D7" s="13" t="s">
        <v>6</v>
      </c>
      <c r="E7" s="14">
        <v>0</v>
      </c>
      <c r="F7" s="14">
        <v>450000</v>
      </c>
      <c r="G7" s="14">
        <f t="shared" si="1"/>
        <v>315000</v>
      </c>
      <c r="H7" s="14">
        <v>98000</v>
      </c>
      <c r="I7" s="14">
        <v>250000</v>
      </c>
      <c r="J7" s="14"/>
      <c r="K7" s="14">
        <f t="shared" si="2"/>
        <v>348000</v>
      </c>
      <c r="L7" s="14">
        <v>2000</v>
      </c>
      <c r="M7" s="5">
        <v>1</v>
      </c>
      <c r="N7" s="5">
        <v>30000</v>
      </c>
      <c r="O7" s="31" t="s">
        <v>74</v>
      </c>
    </row>
    <row r="8" spans="1:15" ht="25.8" x14ac:dyDescent="0.5">
      <c r="A8" s="12">
        <v>5</v>
      </c>
      <c r="B8" s="13" t="s">
        <v>117</v>
      </c>
      <c r="C8" s="28" t="s">
        <v>118</v>
      </c>
      <c r="D8" s="13" t="s">
        <v>6</v>
      </c>
      <c r="E8" s="14"/>
      <c r="F8" s="14">
        <v>550000</v>
      </c>
      <c r="G8" s="14">
        <v>385000</v>
      </c>
      <c r="H8" s="14">
        <v>249000</v>
      </c>
      <c r="I8" s="10"/>
      <c r="J8" s="10"/>
      <c r="K8" s="14">
        <f>SUM(H8:J8)</f>
        <v>249000</v>
      </c>
      <c r="L8" s="14">
        <v>100000</v>
      </c>
      <c r="M8" s="11">
        <v>1</v>
      </c>
      <c r="N8" s="11">
        <v>30000</v>
      </c>
      <c r="O8" s="31" t="s">
        <v>121</v>
      </c>
    </row>
    <row r="9" spans="1:15" ht="25.8" x14ac:dyDescent="0.5">
      <c r="A9" s="12"/>
      <c r="B9" s="13" t="s">
        <v>26</v>
      </c>
      <c r="C9" s="13"/>
      <c r="D9" s="13"/>
      <c r="E9" s="16">
        <f>SUM(E5:E7)</f>
        <v>0</v>
      </c>
      <c r="F9" s="16">
        <f>SUM(F5:F8)</f>
        <v>2100000</v>
      </c>
      <c r="G9" s="16">
        <f>SUM(G5:G7)</f>
        <v>1085000</v>
      </c>
      <c r="H9" s="16">
        <f>SUM(H5:H8)</f>
        <v>867000</v>
      </c>
      <c r="I9" s="16">
        <f>SUM(I5:I7)</f>
        <v>520000</v>
      </c>
      <c r="J9" s="16">
        <f>SUM(J5:J7)</f>
        <v>100000</v>
      </c>
      <c r="K9" s="16">
        <f>SUM(K5:K8)</f>
        <v>1487000</v>
      </c>
      <c r="L9" s="16">
        <f>SUM(L5:L8)</f>
        <v>114000</v>
      </c>
      <c r="M9" s="16">
        <f>SUM(M5:M8)</f>
        <v>4</v>
      </c>
      <c r="N9" s="16">
        <f>SUM(N5:N8)</f>
        <v>120000</v>
      </c>
      <c r="O9" s="30"/>
    </row>
    <row r="10" spans="1:15" ht="25.8" x14ac:dyDescent="0.5">
      <c r="A10" s="12"/>
      <c r="B10" s="13"/>
      <c r="C10" s="13"/>
      <c r="D10" s="13"/>
      <c r="E10" s="13"/>
      <c r="F10" s="16"/>
      <c r="G10" s="16"/>
      <c r="H10" s="16"/>
      <c r="I10" s="16"/>
      <c r="J10" s="16"/>
      <c r="K10" s="16"/>
      <c r="L10" s="16"/>
      <c r="M10" s="16"/>
      <c r="N10" s="16"/>
      <c r="O10" s="30"/>
    </row>
    <row r="11" spans="1:15" ht="25.8" x14ac:dyDescent="0.5">
      <c r="A11" s="12"/>
      <c r="B11" s="13"/>
      <c r="C11" s="13"/>
      <c r="D11" s="13"/>
      <c r="E11" s="13"/>
      <c r="F11" s="16"/>
      <c r="G11" s="16"/>
      <c r="H11" s="16"/>
      <c r="I11" s="16"/>
      <c r="J11" s="16"/>
      <c r="K11" s="16"/>
      <c r="L11" s="16"/>
      <c r="M11" s="16"/>
      <c r="N11" s="16"/>
      <c r="O11" s="30"/>
    </row>
    <row r="12" spans="1:15" ht="24.6" x14ac:dyDescent="0.4">
      <c r="A12" s="12" t="s">
        <v>25</v>
      </c>
      <c r="B12" s="9" t="s">
        <v>3</v>
      </c>
      <c r="C12" s="9"/>
      <c r="D12" s="9" t="s">
        <v>4</v>
      </c>
      <c r="E12" s="9"/>
      <c r="F12" s="10" t="s">
        <v>11</v>
      </c>
      <c r="G12" s="10" t="s">
        <v>16</v>
      </c>
      <c r="H12" s="10" t="s">
        <v>10</v>
      </c>
      <c r="I12" s="10" t="s">
        <v>8</v>
      </c>
      <c r="J12" s="10" t="s">
        <v>9</v>
      </c>
      <c r="K12" s="10" t="s">
        <v>7</v>
      </c>
      <c r="L12" s="10" t="s">
        <v>5</v>
      </c>
      <c r="M12" s="11" t="s">
        <v>21</v>
      </c>
      <c r="N12" s="11" t="s">
        <v>41</v>
      </c>
      <c r="O12" s="29" t="s">
        <v>24</v>
      </c>
    </row>
    <row r="13" spans="1:15" ht="25.8" x14ac:dyDescent="0.5">
      <c r="A13" s="18">
        <v>1</v>
      </c>
      <c r="B13" s="18" t="s">
        <v>19</v>
      </c>
      <c r="C13" s="28" t="s">
        <v>78</v>
      </c>
      <c r="D13" s="12" t="s">
        <v>12</v>
      </c>
      <c r="E13" s="14">
        <v>30000</v>
      </c>
      <c r="F13" s="19">
        <f t="shared" ref="F13:F15" si="3">(550000+E13)</f>
        <v>580000</v>
      </c>
      <c r="G13" s="19">
        <f t="shared" ref="G13:G16" si="4">F13*0.7</f>
        <v>406000</v>
      </c>
      <c r="H13" s="19">
        <v>270000</v>
      </c>
      <c r="I13" s="19">
        <v>280000</v>
      </c>
      <c r="J13" s="19"/>
      <c r="K13" s="20">
        <f t="shared" ref="K13:K16" si="5">SUM(H13:J13)</f>
        <v>550000</v>
      </c>
      <c r="L13" s="20">
        <f t="shared" ref="L13:L16" si="6">(F13-K13)</f>
        <v>30000</v>
      </c>
      <c r="M13" s="21">
        <v>0</v>
      </c>
      <c r="N13" s="21">
        <v>30000</v>
      </c>
      <c r="O13" s="31" t="s">
        <v>85</v>
      </c>
    </row>
    <row r="14" spans="1:15" ht="25.8" x14ac:dyDescent="0.5">
      <c r="A14" s="18">
        <v>2</v>
      </c>
      <c r="B14" s="18" t="s">
        <v>49</v>
      </c>
      <c r="C14" s="28" t="s">
        <v>80</v>
      </c>
      <c r="D14" s="12" t="s">
        <v>12</v>
      </c>
      <c r="E14" s="14">
        <v>0</v>
      </c>
      <c r="F14" s="19">
        <f t="shared" si="3"/>
        <v>550000</v>
      </c>
      <c r="G14" s="19">
        <f t="shared" si="4"/>
        <v>385000</v>
      </c>
      <c r="H14" s="20">
        <v>200000</v>
      </c>
      <c r="I14" s="20">
        <v>170000</v>
      </c>
      <c r="J14" s="20"/>
      <c r="K14" s="20">
        <f t="shared" si="5"/>
        <v>370000</v>
      </c>
      <c r="L14" s="20">
        <v>100000</v>
      </c>
      <c r="M14" s="21">
        <v>1</v>
      </c>
      <c r="N14" s="21">
        <v>30000</v>
      </c>
      <c r="O14" s="31" t="s">
        <v>87</v>
      </c>
    </row>
    <row r="15" spans="1:15" ht="25.8" x14ac:dyDescent="0.5">
      <c r="A15" s="18">
        <v>3</v>
      </c>
      <c r="B15" s="18" t="s">
        <v>42</v>
      </c>
      <c r="C15" s="28" t="s">
        <v>81</v>
      </c>
      <c r="D15" s="12" t="s">
        <v>12</v>
      </c>
      <c r="E15" s="14">
        <v>10000</v>
      </c>
      <c r="F15" s="19">
        <f t="shared" si="3"/>
        <v>560000</v>
      </c>
      <c r="G15" s="19">
        <f t="shared" si="4"/>
        <v>392000</v>
      </c>
      <c r="H15" s="20">
        <v>200000</v>
      </c>
      <c r="I15" s="20">
        <v>170000</v>
      </c>
      <c r="J15" s="20"/>
      <c r="K15" s="20">
        <f t="shared" si="5"/>
        <v>370000</v>
      </c>
      <c r="L15" s="20">
        <v>90000</v>
      </c>
      <c r="M15" s="21">
        <v>0</v>
      </c>
      <c r="N15" s="21">
        <v>30000</v>
      </c>
      <c r="O15" s="31" t="s">
        <v>88</v>
      </c>
    </row>
    <row r="16" spans="1:15" ht="25.8" x14ac:dyDescent="0.5">
      <c r="A16" s="18">
        <v>4</v>
      </c>
      <c r="B16" s="18" t="s">
        <v>23</v>
      </c>
      <c r="C16" s="28" t="s">
        <v>82</v>
      </c>
      <c r="D16" s="12" t="s">
        <v>12</v>
      </c>
      <c r="E16" s="14">
        <v>0</v>
      </c>
      <c r="F16" s="19">
        <v>450000</v>
      </c>
      <c r="G16" s="19">
        <f t="shared" si="4"/>
        <v>315000</v>
      </c>
      <c r="H16" s="20">
        <v>100000</v>
      </c>
      <c r="I16" s="20">
        <v>70000</v>
      </c>
      <c r="J16" s="20">
        <v>100000</v>
      </c>
      <c r="K16" s="20">
        <f t="shared" si="5"/>
        <v>270000</v>
      </c>
      <c r="L16" s="20">
        <f t="shared" si="6"/>
        <v>180000</v>
      </c>
      <c r="M16" s="21">
        <v>1</v>
      </c>
      <c r="N16" s="21">
        <v>30000</v>
      </c>
      <c r="O16" s="31" t="s">
        <v>89</v>
      </c>
    </row>
    <row r="17" spans="1:15" ht="25.8" x14ac:dyDescent="0.5">
      <c r="A17" s="18">
        <v>6</v>
      </c>
      <c r="B17" s="13" t="s">
        <v>122</v>
      </c>
      <c r="C17" s="28"/>
      <c r="D17" s="13"/>
      <c r="E17" s="14"/>
      <c r="F17" s="14"/>
      <c r="G17" s="14"/>
      <c r="H17" s="14"/>
      <c r="I17" s="14"/>
      <c r="J17" s="14"/>
      <c r="K17" s="14"/>
      <c r="L17" s="14">
        <v>42000</v>
      </c>
      <c r="M17" s="5"/>
      <c r="N17" s="5"/>
      <c r="O17" s="31" t="s">
        <v>123</v>
      </c>
    </row>
    <row r="18" spans="1:15" ht="25.8" x14ac:dyDescent="0.5">
      <c r="A18" s="12"/>
      <c r="B18" s="40" t="s">
        <v>26</v>
      </c>
      <c r="C18" s="28"/>
      <c r="D18" s="18"/>
      <c r="E18" s="3">
        <f t="shared" ref="E18:K18" si="7">SUM(E13:E16)</f>
        <v>40000</v>
      </c>
      <c r="F18" s="3">
        <f t="shared" si="7"/>
        <v>2140000</v>
      </c>
      <c r="G18" s="3">
        <f t="shared" si="7"/>
        <v>1498000</v>
      </c>
      <c r="H18" s="3">
        <f t="shared" si="7"/>
        <v>770000</v>
      </c>
      <c r="I18" s="3">
        <f t="shared" si="7"/>
        <v>690000</v>
      </c>
      <c r="J18" s="3">
        <f t="shared" si="7"/>
        <v>100000</v>
      </c>
      <c r="K18" s="3">
        <f t="shared" si="7"/>
        <v>1560000</v>
      </c>
      <c r="L18" s="3">
        <f>SUM(L13:L17)</f>
        <v>442000</v>
      </c>
      <c r="M18" s="3">
        <f>SUM(M13:M16)</f>
        <v>2</v>
      </c>
      <c r="N18" s="3">
        <f>SUM(N13:N16)</f>
        <v>120000</v>
      </c>
      <c r="O18" s="30"/>
    </row>
    <row r="19" spans="1:15" ht="25.8" x14ac:dyDescent="0.5">
      <c r="A19" s="18"/>
      <c r="B19" s="18"/>
      <c r="C19" s="18"/>
      <c r="D19" s="12"/>
      <c r="E19" s="12"/>
      <c r="F19" s="19"/>
      <c r="G19" s="19"/>
      <c r="H19" s="19"/>
      <c r="I19" s="5"/>
      <c r="J19" s="5"/>
      <c r="K19" s="20"/>
      <c r="L19" s="20"/>
      <c r="M19" s="8"/>
      <c r="N19" s="8"/>
      <c r="O19" s="36"/>
    </row>
    <row r="20" spans="1:15" ht="25.8" x14ac:dyDescent="0.5">
      <c r="A20" s="18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8"/>
      <c r="N20" s="8"/>
      <c r="O20" s="36"/>
    </row>
    <row r="21" spans="1:15" ht="25.8" x14ac:dyDescent="0.5">
      <c r="A21" s="5" t="s">
        <v>25</v>
      </c>
      <c r="B21" s="9" t="s">
        <v>3</v>
      </c>
      <c r="C21" s="9" t="s">
        <v>55</v>
      </c>
      <c r="D21" s="9" t="s">
        <v>4</v>
      </c>
      <c r="E21" s="9" t="s">
        <v>120</v>
      </c>
      <c r="F21" s="10" t="s">
        <v>11</v>
      </c>
      <c r="G21" s="10" t="s">
        <v>16</v>
      </c>
      <c r="H21" s="10" t="s">
        <v>10</v>
      </c>
      <c r="I21" s="10" t="s">
        <v>8</v>
      </c>
      <c r="J21" s="10" t="s">
        <v>9</v>
      </c>
      <c r="K21" s="10" t="s">
        <v>7</v>
      </c>
      <c r="L21" s="10" t="s">
        <v>5</v>
      </c>
      <c r="M21" s="11" t="s">
        <v>21</v>
      </c>
      <c r="N21" s="11" t="s">
        <v>41</v>
      </c>
      <c r="O21" s="30"/>
    </row>
    <row r="22" spans="1:15" ht="25.8" x14ac:dyDescent="0.5">
      <c r="A22" s="12">
        <v>1</v>
      </c>
      <c r="B22" s="18" t="s">
        <v>33</v>
      </c>
      <c r="C22" s="28" t="s">
        <v>90</v>
      </c>
      <c r="D22" s="12" t="s">
        <v>13</v>
      </c>
      <c r="E22" s="14">
        <v>0</v>
      </c>
      <c r="F22" s="19">
        <f t="shared" ref="F22:F24" si="8">(550000+E22)</f>
        <v>550000</v>
      </c>
      <c r="G22" s="19">
        <f t="shared" ref="G22:G24" si="9">F22*0.7</f>
        <v>385000</v>
      </c>
      <c r="H22" s="20">
        <v>250000</v>
      </c>
      <c r="I22" s="20"/>
      <c r="J22" s="22"/>
      <c r="K22" s="20">
        <f t="shared" ref="K22:K24" si="10">SUM(H22:J22)</f>
        <v>250000</v>
      </c>
      <c r="L22" s="20">
        <v>130000</v>
      </c>
      <c r="M22" s="21">
        <v>0</v>
      </c>
      <c r="N22" s="21">
        <v>0</v>
      </c>
      <c r="O22" s="31" t="s">
        <v>93</v>
      </c>
    </row>
    <row r="23" spans="1:15" ht="25.8" x14ac:dyDescent="0.5">
      <c r="A23" s="12">
        <v>2</v>
      </c>
      <c r="B23" s="18" t="s">
        <v>54</v>
      </c>
      <c r="C23" s="28" t="s">
        <v>91</v>
      </c>
      <c r="D23" s="12" t="s">
        <v>13</v>
      </c>
      <c r="E23" s="14">
        <v>0</v>
      </c>
      <c r="F23" s="19">
        <f t="shared" si="8"/>
        <v>550000</v>
      </c>
      <c r="G23" s="19">
        <f t="shared" si="9"/>
        <v>385000</v>
      </c>
      <c r="H23" s="19">
        <v>300000</v>
      </c>
      <c r="I23" s="19"/>
      <c r="J23" s="19"/>
      <c r="K23" s="20">
        <f t="shared" si="10"/>
        <v>300000</v>
      </c>
      <c r="L23" s="20">
        <v>50000</v>
      </c>
      <c r="M23" s="21">
        <v>1</v>
      </c>
      <c r="N23" s="21">
        <v>0</v>
      </c>
      <c r="O23" s="31" t="s">
        <v>94</v>
      </c>
    </row>
    <row r="24" spans="1:15" ht="25.8" x14ac:dyDescent="0.5">
      <c r="A24" s="12">
        <v>3</v>
      </c>
      <c r="B24" s="12" t="s">
        <v>43</v>
      </c>
      <c r="C24" s="28" t="s">
        <v>92</v>
      </c>
      <c r="D24" s="12" t="s">
        <v>13</v>
      </c>
      <c r="E24" s="14">
        <v>0</v>
      </c>
      <c r="F24" s="19">
        <f t="shared" si="8"/>
        <v>550000</v>
      </c>
      <c r="G24" s="19">
        <f t="shared" si="9"/>
        <v>385000</v>
      </c>
      <c r="H24" s="19">
        <v>200000</v>
      </c>
      <c r="I24" s="15">
        <v>170000</v>
      </c>
      <c r="J24" s="15"/>
      <c r="K24" s="20">
        <f t="shared" si="10"/>
        <v>370000</v>
      </c>
      <c r="L24" s="20">
        <v>80000</v>
      </c>
      <c r="M24" s="21">
        <v>0</v>
      </c>
      <c r="N24" s="21">
        <v>30000</v>
      </c>
      <c r="O24" s="31" t="s">
        <v>88</v>
      </c>
    </row>
    <row r="25" spans="1:15" ht="25.8" x14ac:dyDescent="0.5">
      <c r="A25" s="18"/>
      <c r="B25" s="18" t="s">
        <v>26</v>
      </c>
      <c r="C25" s="28"/>
      <c r="D25" s="18"/>
      <c r="E25" s="41">
        <f t="shared" ref="E25:N25" si="11">SUM(E22:E24)</f>
        <v>0</v>
      </c>
      <c r="F25" s="3">
        <f t="shared" si="11"/>
        <v>1650000</v>
      </c>
      <c r="G25" s="3">
        <f t="shared" si="11"/>
        <v>1155000</v>
      </c>
      <c r="H25" s="3">
        <f t="shared" si="11"/>
        <v>750000</v>
      </c>
      <c r="I25" s="3">
        <f t="shared" si="11"/>
        <v>170000</v>
      </c>
      <c r="J25" s="3">
        <f t="shared" si="11"/>
        <v>0</v>
      </c>
      <c r="K25" s="3">
        <f t="shared" si="11"/>
        <v>920000</v>
      </c>
      <c r="L25" s="3">
        <f t="shared" si="11"/>
        <v>260000</v>
      </c>
      <c r="M25" s="4">
        <f t="shared" si="11"/>
        <v>1</v>
      </c>
      <c r="N25" s="4">
        <f t="shared" si="11"/>
        <v>30000</v>
      </c>
      <c r="O25" s="35"/>
    </row>
    <row r="26" spans="1:15" ht="25.8" x14ac:dyDescent="0.5">
      <c r="A26" s="18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8"/>
      <c r="N26" s="8"/>
      <c r="O26" s="36"/>
    </row>
    <row r="27" spans="1:15" ht="25.8" x14ac:dyDescent="0.5">
      <c r="A27" s="5"/>
      <c r="B27" s="18"/>
      <c r="C27" s="18"/>
      <c r="D27" s="12"/>
      <c r="E27" s="12"/>
      <c r="F27" s="19"/>
      <c r="G27" s="19"/>
      <c r="H27" s="19"/>
      <c r="I27" s="15"/>
      <c r="J27" s="5"/>
      <c r="K27" s="20"/>
      <c r="L27" s="20"/>
      <c r="M27" s="8"/>
      <c r="N27" s="8"/>
      <c r="O27" s="36"/>
    </row>
    <row r="28" spans="1:15" ht="25.8" x14ac:dyDescent="0.5">
      <c r="A28" s="18" t="s">
        <v>25</v>
      </c>
      <c r="B28" s="9" t="s">
        <v>3</v>
      </c>
      <c r="C28" s="9"/>
      <c r="D28" s="9" t="s">
        <v>4</v>
      </c>
      <c r="E28" s="9"/>
      <c r="F28" s="10" t="s">
        <v>11</v>
      </c>
      <c r="G28" s="10" t="s">
        <v>16</v>
      </c>
      <c r="H28" s="10" t="s">
        <v>10</v>
      </c>
      <c r="I28" s="10" t="s">
        <v>8</v>
      </c>
      <c r="J28" s="10" t="s">
        <v>9</v>
      </c>
      <c r="K28" s="10" t="s">
        <v>7</v>
      </c>
      <c r="L28" s="10" t="s">
        <v>5</v>
      </c>
      <c r="M28" s="11" t="s">
        <v>21</v>
      </c>
      <c r="N28" s="11" t="s">
        <v>41</v>
      </c>
      <c r="O28" s="30"/>
    </row>
    <row r="29" spans="1:15" ht="25.8" x14ac:dyDescent="0.5">
      <c r="A29" s="12">
        <v>1</v>
      </c>
      <c r="B29" s="18" t="s">
        <v>27</v>
      </c>
      <c r="C29" s="28" t="s">
        <v>95</v>
      </c>
      <c r="D29" s="12" t="s">
        <v>15</v>
      </c>
      <c r="E29" s="14">
        <v>0</v>
      </c>
      <c r="F29" s="19">
        <v>300000</v>
      </c>
      <c r="G29" s="19">
        <f t="shared" ref="G29" si="12">F29*0.7</f>
        <v>210000</v>
      </c>
      <c r="H29" s="19">
        <v>99000</v>
      </c>
      <c r="I29" s="19">
        <v>70000</v>
      </c>
      <c r="J29" s="19">
        <v>75000</v>
      </c>
      <c r="K29" s="20">
        <f t="shared" ref="K29" si="13">SUM(H29:J29)</f>
        <v>244000</v>
      </c>
      <c r="L29" s="20">
        <v>1000</v>
      </c>
      <c r="M29" s="21">
        <v>1</v>
      </c>
      <c r="N29" s="21">
        <v>30000</v>
      </c>
      <c r="O29" s="31" t="s">
        <v>96</v>
      </c>
    </row>
    <row r="30" spans="1:15" ht="25.8" x14ac:dyDescent="0.5">
      <c r="A30" s="12">
        <v>2</v>
      </c>
      <c r="B30" s="18" t="s">
        <v>111</v>
      </c>
      <c r="C30" s="18" t="s">
        <v>119</v>
      </c>
      <c r="D30" s="12" t="s">
        <v>15</v>
      </c>
      <c r="E30" s="12"/>
      <c r="F30" s="19">
        <v>600000</v>
      </c>
      <c r="G30" s="19">
        <v>420000</v>
      </c>
      <c r="H30" s="19">
        <v>300000</v>
      </c>
      <c r="I30" s="19"/>
      <c r="J30" s="19"/>
      <c r="K30" s="20">
        <f>SUM(H30:J30)</f>
        <v>300000</v>
      </c>
      <c r="L30" s="20">
        <f>(F30-K30)</f>
        <v>300000</v>
      </c>
      <c r="M30" s="21">
        <v>1</v>
      </c>
      <c r="N30" s="21">
        <v>0</v>
      </c>
      <c r="O30" s="34">
        <v>772999895</v>
      </c>
    </row>
    <row r="31" spans="1:15" ht="25.8" x14ac:dyDescent="0.5">
      <c r="A31" s="18"/>
      <c r="B31" s="18"/>
      <c r="C31" s="18"/>
      <c r="D31" s="12"/>
      <c r="E31" s="3">
        <f t="shared" ref="E31:N31" si="14">SUM(E29:E30)</f>
        <v>0</v>
      </c>
      <c r="F31" s="3">
        <f t="shared" si="14"/>
        <v>900000</v>
      </c>
      <c r="G31" s="3">
        <f t="shared" si="14"/>
        <v>630000</v>
      </c>
      <c r="H31" s="3">
        <f t="shared" si="14"/>
        <v>399000</v>
      </c>
      <c r="I31" s="3">
        <f t="shared" si="14"/>
        <v>70000</v>
      </c>
      <c r="J31" s="3">
        <f t="shared" si="14"/>
        <v>75000</v>
      </c>
      <c r="K31" s="3">
        <f t="shared" si="14"/>
        <v>544000</v>
      </c>
      <c r="L31" s="3">
        <f t="shared" si="14"/>
        <v>301000</v>
      </c>
      <c r="M31" s="3">
        <f t="shared" si="14"/>
        <v>2</v>
      </c>
      <c r="N31" s="3">
        <f t="shared" si="14"/>
        <v>30000</v>
      </c>
      <c r="O31" s="30"/>
    </row>
    <row r="32" spans="1:15" ht="25.8" x14ac:dyDescent="0.5">
      <c r="A32" s="18"/>
      <c r="B32" s="18"/>
      <c r="C32" s="18"/>
      <c r="D32" s="12"/>
      <c r="E32" s="12"/>
      <c r="F32" s="3"/>
      <c r="G32" s="3"/>
      <c r="H32" s="3"/>
      <c r="I32" s="3"/>
      <c r="J32" s="3"/>
      <c r="K32" s="3"/>
      <c r="L32" s="3"/>
      <c r="M32" s="3"/>
      <c r="N32" s="3"/>
      <c r="O32" s="30"/>
    </row>
    <row r="33" spans="1:15" ht="25.8" x14ac:dyDescent="0.5">
      <c r="A33" s="12"/>
      <c r="B33" s="18"/>
      <c r="C33" s="18"/>
      <c r="D33" s="12"/>
      <c r="E33" s="12"/>
      <c r="F33" s="19"/>
      <c r="G33" s="19"/>
      <c r="H33" s="19"/>
      <c r="I33" s="5"/>
      <c r="J33" s="5"/>
      <c r="K33" s="20"/>
      <c r="L33" s="20"/>
      <c r="M33" s="5"/>
      <c r="N33" s="5"/>
      <c r="O33" s="30"/>
    </row>
    <row r="34" spans="1:15" ht="25.8" x14ac:dyDescent="0.5">
      <c r="A34" s="12" t="s">
        <v>25</v>
      </c>
      <c r="B34" s="9" t="s">
        <v>3</v>
      </c>
      <c r="C34" s="9"/>
      <c r="D34" s="9" t="s">
        <v>4</v>
      </c>
      <c r="E34" s="9"/>
      <c r="F34" s="10" t="s">
        <v>11</v>
      </c>
      <c r="G34" s="10" t="s">
        <v>16</v>
      </c>
      <c r="H34" s="10" t="s">
        <v>10</v>
      </c>
      <c r="I34" s="10" t="s">
        <v>8</v>
      </c>
      <c r="J34" s="10" t="s">
        <v>9</v>
      </c>
      <c r="K34" s="10" t="s">
        <v>7</v>
      </c>
      <c r="L34" s="10" t="s">
        <v>5</v>
      </c>
      <c r="M34" s="11" t="s">
        <v>21</v>
      </c>
      <c r="N34" s="11" t="s">
        <v>41</v>
      </c>
      <c r="O34" s="30"/>
    </row>
    <row r="35" spans="1:15" ht="25.8" x14ac:dyDescent="0.5">
      <c r="A35" s="18">
        <v>1</v>
      </c>
      <c r="B35" s="18" t="s">
        <v>46</v>
      </c>
      <c r="C35" s="28" t="s">
        <v>98</v>
      </c>
      <c r="D35" s="12" t="s">
        <v>17</v>
      </c>
      <c r="E35" s="14">
        <v>0</v>
      </c>
      <c r="F35" s="19">
        <f t="shared" ref="F35:F38" si="15">(600000+E35)</f>
        <v>600000</v>
      </c>
      <c r="G35" s="19">
        <f t="shared" ref="G35:G38" si="16">F35*0.7</f>
        <v>420000</v>
      </c>
      <c r="H35" s="19">
        <v>100000</v>
      </c>
      <c r="I35" s="19">
        <v>100000</v>
      </c>
      <c r="J35" s="12"/>
      <c r="K35" s="20">
        <f t="shared" ref="K35:K38" si="17">SUM(H35:J35)</f>
        <v>200000</v>
      </c>
      <c r="L35" s="20">
        <v>44000</v>
      </c>
      <c r="M35" s="21">
        <v>1</v>
      </c>
      <c r="N35" s="21">
        <v>30000</v>
      </c>
      <c r="O35" s="33" t="s">
        <v>102</v>
      </c>
    </row>
    <row r="36" spans="1:15" ht="25.8" x14ac:dyDescent="0.5">
      <c r="A36" s="18">
        <v>2</v>
      </c>
      <c r="B36" s="18" t="s">
        <v>32</v>
      </c>
      <c r="C36" s="28" t="s">
        <v>99</v>
      </c>
      <c r="D36" s="12" t="s">
        <v>17</v>
      </c>
      <c r="E36" s="14">
        <v>0</v>
      </c>
      <c r="F36" s="19">
        <f t="shared" si="15"/>
        <v>600000</v>
      </c>
      <c r="G36" s="19">
        <f t="shared" si="16"/>
        <v>420000</v>
      </c>
      <c r="H36" s="19">
        <v>253000</v>
      </c>
      <c r="I36" s="19">
        <v>70000</v>
      </c>
      <c r="J36" s="19"/>
      <c r="K36" s="20">
        <f t="shared" si="17"/>
        <v>323000</v>
      </c>
      <c r="L36" s="20">
        <v>77000</v>
      </c>
      <c r="M36" s="21">
        <v>1</v>
      </c>
      <c r="N36" s="21">
        <v>30000</v>
      </c>
      <c r="O36" s="31" t="s">
        <v>93</v>
      </c>
    </row>
    <row r="37" spans="1:15" ht="25.8" x14ac:dyDescent="0.5">
      <c r="A37" s="9">
        <v>3</v>
      </c>
      <c r="B37" s="18" t="s">
        <v>97</v>
      </c>
      <c r="C37" s="28" t="s">
        <v>100</v>
      </c>
      <c r="D37" s="12" t="s">
        <v>17</v>
      </c>
      <c r="E37" s="14">
        <v>95000</v>
      </c>
      <c r="F37" s="19">
        <f t="shared" si="15"/>
        <v>695000</v>
      </c>
      <c r="G37" s="19">
        <f t="shared" si="16"/>
        <v>486499.99999999994</v>
      </c>
      <c r="H37" s="19">
        <v>300000</v>
      </c>
      <c r="I37" s="15">
        <v>70000</v>
      </c>
      <c r="J37" s="15">
        <v>100000</v>
      </c>
      <c r="K37" s="20">
        <f t="shared" si="17"/>
        <v>470000</v>
      </c>
      <c r="L37" s="20">
        <v>25000</v>
      </c>
      <c r="M37" s="21">
        <v>1</v>
      </c>
      <c r="N37" s="21">
        <v>30000</v>
      </c>
      <c r="O37" s="31" t="s">
        <v>89</v>
      </c>
    </row>
    <row r="38" spans="1:15" ht="25.8" x14ac:dyDescent="0.5">
      <c r="A38" s="18">
        <v>4</v>
      </c>
      <c r="B38" s="18" t="s">
        <v>51</v>
      </c>
      <c r="C38" s="28" t="s">
        <v>101</v>
      </c>
      <c r="D38" s="12" t="s">
        <v>17</v>
      </c>
      <c r="E38" s="14">
        <v>0</v>
      </c>
      <c r="F38" s="19">
        <f t="shared" si="15"/>
        <v>600000</v>
      </c>
      <c r="G38" s="19">
        <f t="shared" si="16"/>
        <v>420000</v>
      </c>
      <c r="H38" s="19">
        <v>100000</v>
      </c>
      <c r="I38" s="19">
        <v>70000</v>
      </c>
      <c r="J38" s="15">
        <v>100000</v>
      </c>
      <c r="K38" s="20">
        <f t="shared" si="17"/>
        <v>270000</v>
      </c>
      <c r="L38" s="20">
        <v>30000</v>
      </c>
      <c r="M38" s="21">
        <v>1</v>
      </c>
      <c r="N38" s="21">
        <v>30000</v>
      </c>
      <c r="O38" s="33" t="s">
        <v>103</v>
      </c>
    </row>
    <row r="39" spans="1:15" ht="25.8" x14ac:dyDescent="0.5">
      <c r="A39" s="18"/>
      <c r="B39" s="18"/>
      <c r="C39" s="28"/>
      <c r="D39" s="12"/>
      <c r="E39" s="12"/>
      <c r="F39" s="19"/>
      <c r="G39" s="19"/>
      <c r="H39" s="19"/>
      <c r="I39" s="19"/>
      <c r="J39" s="15"/>
      <c r="K39" s="20"/>
      <c r="L39" s="20">
        <f>SUM(L35:L38)</f>
        <v>176000</v>
      </c>
      <c r="M39" s="21"/>
      <c r="N39" s="21"/>
      <c r="O39" s="34"/>
    </row>
    <row r="40" spans="1:15" ht="25.8" x14ac:dyDescent="0.5">
      <c r="A40" s="18"/>
      <c r="B40" s="18"/>
      <c r="C40" s="28"/>
      <c r="D40" s="12"/>
      <c r="E40" s="3">
        <f t="shared" ref="E40:K40" si="18">SUM(E35:E39)</f>
        <v>95000</v>
      </c>
      <c r="F40" s="3">
        <f t="shared" si="18"/>
        <v>2495000</v>
      </c>
      <c r="G40" s="3">
        <f t="shared" si="18"/>
        <v>1746500</v>
      </c>
      <c r="H40" s="3">
        <f t="shared" si="18"/>
        <v>753000</v>
      </c>
      <c r="I40" s="3">
        <f t="shared" si="18"/>
        <v>310000</v>
      </c>
      <c r="J40" s="3">
        <f t="shared" si="18"/>
        <v>200000</v>
      </c>
      <c r="K40" s="3">
        <f t="shared" si="18"/>
        <v>1263000</v>
      </c>
      <c r="L40" s="3"/>
      <c r="M40" s="3">
        <f>SUM(M35:M39)</f>
        <v>4</v>
      </c>
      <c r="N40" s="3">
        <f>SUM(N35:N39)</f>
        <v>120000</v>
      </c>
      <c r="O40" s="30"/>
    </row>
    <row r="41" spans="1:15" ht="25.8" x14ac:dyDescent="0.5">
      <c r="A41" s="18"/>
      <c r="B41" s="18"/>
      <c r="C41" s="28"/>
      <c r="D41" s="12">
        <v>0</v>
      </c>
      <c r="E41" s="12"/>
      <c r="F41" s="3"/>
      <c r="G41" s="3"/>
      <c r="H41" s="3"/>
      <c r="I41" s="3"/>
      <c r="J41" s="3"/>
      <c r="K41" s="3"/>
      <c r="L41" s="3"/>
      <c r="M41" s="3"/>
      <c r="N41" s="3"/>
      <c r="O41" s="30"/>
    </row>
    <row r="42" spans="1:15" ht="25.8" x14ac:dyDescent="0.5">
      <c r="A42" s="18" t="s">
        <v>25</v>
      </c>
      <c r="B42" s="9" t="s">
        <v>3</v>
      </c>
      <c r="C42" s="9"/>
      <c r="D42" s="9" t="s">
        <v>4</v>
      </c>
      <c r="E42" s="9"/>
      <c r="F42" s="23" t="s">
        <v>11</v>
      </c>
      <c r="G42" s="3" t="s">
        <v>16</v>
      </c>
      <c r="H42" s="23" t="s">
        <v>10</v>
      </c>
      <c r="I42" s="23" t="s">
        <v>8</v>
      </c>
      <c r="J42" s="23" t="s">
        <v>9</v>
      </c>
      <c r="K42" s="23" t="s">
        <v>7</v>
      </c>
      <c r="L42" s="23" t="s">
        <v>5</v>
      </c>
      <c r="M42" s="24" t="s">
        <v>21</v>
      </c>
      <c r="N42" s="24" t="s">
        <v>41</v>
      </c>
      <c r="O42" s="30"/>
    </row>
    <row r="43" spans="1:15" ht="25.8" x14ac:dyDescent="0.5">
      <c r="A43" s="18">
        <v>1</v>
      </c>
      <c r="B43" s="12" t="s">
        <v>14</v>
      </c>
      <c r="C43" s="28" t="s">
        <v>104</v>
      </c>
      <c r="D43" s="12" t="s">
        <v>29</v>
      </c>
      <c r="E43" s="14">
        <v>30000</v>
      </c>
      <c r="F43" s="19">
        <f t="shared" ref="F43" si="19">(600000+E43)</f>
        <v>630000</v>
      </c>
      <c r="G43" s="19">
        <f t="shared" ref="G43" si="20">F43*0.7</f>
        <v>441000</v>
      </c>
      <c r="H43" s="19">
        <v>270000</v>
      </c>
      <c r="I43" s="19">
        <v>330000</v>
      </c>
      <c r="J43" s="19"/>
      <c r="K43" s="19">
        <f t="shared" ref="K43" si="21">SUM(H43:J43)</f>
        <v>600000</v>
      </c>
      <c r="L43" s="19">
        <f t="shared" ref="L43" si="22">(F43-K43)</f>
        <v>30000</v>
      </c>
      <c r="M43" s="21">
        <v>0</v>
      </c>
      <c r="N43" s="21">
        <v>30000</v>
      </c>
      <c r="O43" s="31" t="s">
        <v>85</v>
      </c>
    </row>
    <row r="44" spans="1:15" ht="25.8" x14ac:dyDescent="0.5">
      <c r="A44" s="18"/>
      <c r="B44" s="12"/>
      <c r="C44" s="12"/>
      <c r="D44" s="12"/>
      <c r="E44" s="12"/>
      <c r="F44" s="19"/>
      <c r="G44" s="19"/>
      <c r="H44" s="19"/>
      <c r="I44" s="19"/>
      <c r="J44" s="19"/>
      <c r="K44" s="19"/>
      <c r="L44" s="19"/>
      <c r="M44" s="21"/>
      <c r="N44" s="21"/>
      <c r="O44" s="30"/>
    </row>
    <row r="45" spans="1:15" ht="25.8" x14ac:dyDescent="0.5">
      <c r="A45" s="18"/>
      <c r="B45" s="9" t="s">
        <v>26</v>
      </c>
      <c r="C45" s="9"/>
      <c r="D45" s="12"/>
      <c r="E45" s="3">
        <f t="shared" ref="E45:N45" si="23">SUM(E43:E44)</f>
        <v>30000</v>
      </c>
      <c r="F45" s="3">
        <f t="shared" si="23"/>
        <v>630000</v>
      </c>
      <c r="G45" s="3">
        <f t="shared" si="23"/>
        <v>441000</v>
      </c>
      <c r="H45" s="3">
        <f t="shared" si="23"/>
        <v>270000</v>
      </c>
      <c r="I45" s="3">
        <f t="shared" si="23"/>
        <v>330000</v>
      </c>
      <c r="J45" s="3">
        <f t="shared" si="23"/>
        <v>0</v>
      </c>
      <c r="K45" s="3">
        <f t="shared" si="23"/>
        <v>600000</v>
      </c>
      <c r="L45" s="3">
        <f t="shared" si="23"/>
        <v>30000</v>
      </c>
      <c r="M45" s="3">
        <f t="shared" si="23"/>
        <v>0</v>
      </c>
      <c r="N45" s="3">
        <f t="shared" si="23"/>
        <v>30000</v>
      </c>
      <c r="O45" s="30"/>
    </row>
    <row r="46" spans="1:15" ht="25.8" x14ac:dyDescent="0.5">
      <c r="A46" s="18"/>
      <c r="B46" s="12"/>
      <c r="C46" s="12"/>
      <c r="D46" s="12"/>
      <c r="E46" s="12"/>
      <c r="F46" s="3"/>
      <c r="G46" s="3"/>
      <c r="H46" s="3"/>
      <c r="I46" s="3"/>
      <c r="J46" s="3"/>
      <c r="K46" s="3"/>
      <c r="L46" s="3"/>
      <c r="M46" s="5"/>
      <c r="N46" s="5"/>
      <c r="O46" s="30"/>
    </row>
    <row r="47" spans="1:15" ht="25.8" x14ac:dyDescent="0.5">
      <c r="A47" s="18"/>
      <c r="B47" s="12"/>
      <c r="C47" s="12"/>
      <c r="D47" s="12"/>
      <c r="E47" s="12"/>
      <c r="F47" s="3"/>
      <c r="G47" s="3"/>
      <c r="H47" s="3"/>
      <c r="I47" s="3"/>
      <c r="J47" s="3"/>
      <c r="K47" s="3"/>
      <c r="L47" s="3"/>
      <c r="M47" s="5"/>
      <c r="N47" s="5"/>
      <c r="O47" s="30"/>
    </row>
    <row r="48" spans="1:15" ht="25.8" x14ac:dyDescent="0.5">
      <c r="A48" s="18"/>
      <c r="B48" s="9" t="s">
        <v>18</v>
      </c>
      <c r="C48" s="9"/>
      <c r="D48" s="12"/>
      <c r="E48" s="3" t="e">
        <f>#REF!+E18+#REF!+E31+E40+E45+E9</f>
        <v>#REF!</v>
      </c>
      <c r="F48" s="3" t="e">
        <f>SUM(#REF!+F9+F18+F25+F31+F40+F45)</f>
        <v>#REF!</v>
      </c>
      <c r="G48" s="3">
        <v>70197500</v>
      </c>
      <c r="H48" s="3">
        <v>59334000</v>
      </c>
      <c r="I48" s="3" t="e">
        <f>#REF!+I18+#REF!+I31+I40+I45+I9</f>
        <v>#REF!</v>
      </c>
      <c r="J48" s="3" t="e">
        <f>#REF!+J18+#REF!+J31+J40+J45+J9</f>
        <v>#REF!</v>
      </c>
      <c r="K48" s="3" t="e">
        <f>SUM(#REF!+K9+K18+K25+K31+K40+K45)</f>
        <v>#REF!</v>
      </c>
      <c r="L48" s="3">
        <f>SUM(L9+L18+L25+L31+L39+L45)</f>
        <v>1323000</v>
      </c>
      <c r="M48" s="3">
        <v>161</v>
      </c>
      <c r="N48" s="3" t="e">
        <f>SUM(#REF!+N9+N18+N25+N31+N40+N45)</f>
        <v>#REF!</v>
      </c>
      <c r="O48" s="37"/>
    </row>
    <row r="49" spans="1:15" ht="18" x14ac:dyDescent="0.35">
      <c r="A49" s="18"/>
      <c r="B49" s="26"/>
      <c r="C49" s="26"/>
      <c r="D49" s="27"/>
      <c r="E49" s="27"/>
      <c r="F49" s="4"/>
      <c r="G49" s="4"/>
      <c r="H49" s="4"/>
      <c r="I49" s="4"/>
      <c r="J49" s="4"/>
      <c r="K49" s="4"/>
      <c r="L49" s="4"/>
      <c r="M49" s="17"/>
      <c r="N49" s="17"/>
      <c r="O49" s="8"/>
    </row>
    <row r="50" spans="1:15" ht="18" x14ac:dyDescent="0.35">
      <c r="A50" s="25"/>
      <c r="B50" s="26"/>
      <c r="C50" s="26"/>
      <c r="D50" s="27"/>
      <c r="E50" s="27"/>
      <c r="F50" s="4"/>
      <c r="G50" s="4"/>
      <c r="H50" s="4"/>
      <c r="I50" s="4"/>
      <c r="J50" s="4"/>
      <c r="K50" s="4"/>
      <c r="L50" s="4"/>
      <c r="M50" s="17"/>
      <c r="N50" s="17"/>
      <c r="O50" s="8"/>
    </row>
  </sheetData>
  <conditionalFormatting sqref="B18">
    <cfRule type="duplicateValues" dxfId="23" priority="29"/>
    <cfRule type="duplicateValues" dxfId="22" priority="30"/>
  </conditionalFormatting>
  <conditionalFormatting sqref="B38">
    <cfRule type="duplicateValues" dxfId="21" priority="15"/>
    <cfRule type="duplicateValues" dxfId="20" priority="16"/>
  </conditionalFormatting>
  <conditionalFormatting sqref="B43">
    <cfRule type="duplicateValues" dxfId="19" priority="11"/>
    <cfRule type="duplicateValues" dxfId="18" priority="12"/>
  </conditionalFormatting>
  <conditionalFormatting sqref="B29">
    <cfRule type="duplicateValues" dxfId="17" priority="3711"/>
    <cfRule type="duplicateValues" dxfId="16" priority="3712"/>
  </conditionalFormatting>
  <conditionalFormatting sqref="B39:B41 B35:B37">
    <cfRule type="duplicateValues" dxfId="15" priority="3763"/>
    <cfRule type="duplicateValues" dxfId="14" priority="3764"/>
  </conditionalFormatting>
  <conditionalFormatting sqref="B13:B16">
    <cfRule type="duplicateValues" dxfId="13" priority="4009"/>
    <cfRule type="duplicateValues" dxfId="12" priority="4010"/>
  </conditionalFormatting>
  <conditionalFormatting sqref="B22">
    <cfRule type="duplicateValues" dxfId="11" priority="4109"/>
    <cfRule type="duplicateValues" dxfId="10" priority="4110"/>
  </conditionalFormatting>
  <conditionalFormatting sqref="B8">
    <cfRule type="duplicateValues" dxfId="9" priority="4125"/>
    <cfRule type="duplicateValues" dxfId="8" priority="4126"/>
  </conditionalFormatting>
  <conditionalFormatting sqref="B44:C50 B42:C42 B26:C28 B19:C21 B9:C12 B1:C4 B30:C34">
    <cfRule type="duplicateValues" dxfId="7" priority="4127"/>
    <cfRule type="duplicateValues" dxfId="6" priority="4128"/>
  </conditionalFormatting>
  <conditionalFormatting sqref="B23:B25">
    <cfRule type="duplicateValues" dxfId="5" priority="4207"/>
    <cfRule type="duplicateValues" dxfId="4" priority="4208"/>
  </conditionalFormatting>
  <conditionalFormatting sqref="B17">
    <cfRule type="duplicateValues" dxfId="3" priority="4223"/>
    <cfRule type="duplicateValues" dxfId="2" priority="4224"/>
  </conditionalFormatting>
  <conditionalFormatting sqref="B5:B7">
    <cfRule type="duplicateValues" dxfId="1" priority="4239"/>
    <cfRule type="duplicateValues" dxfId="0" priority="424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 I SCH FEES 2026</vt:lpstr>
      <vt:lpstr>Sheet1</vt:lpstr>
      <vt:lpstr>TERM II DEFAULTERS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2026-05-19T06:43:21Z</dcterms:modified>
</cp:coreProperties>
</file>